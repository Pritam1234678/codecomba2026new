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Sheet (100 Qs)" sheetId="1" r:id="rId5"/>
    <sheet state="visible" name="Topic-wise Summary" sheetId="2" r:id="rId6"/>
    <sheet state="visible" name="Difficulty Distribution" sheetId="3" r:id="rId7"/>
    <sheet state="visible" name="Progress Tracker" sheetId="4" r:id="rId8"/>
  </sheets>
  <definedNames/>
  <calcPr/>
</workbook>
</file>

<file path=xl/sharedStrings.xml><?xml version="1.0" encoding="utf-8"?>
<sst xmlns="http://schemas.openxmlformats.org/spreadsheetml/2006/main" count="966" uniqueCount="342">
  <si>
    <t>Topic-wise Question Distribution</t>
  </si>
  <si>
    <t>S.No</t>
  </si>
  <si>
    <t>Difficulty Distribution</t>
  </si>
  <si>
    <t>Deloitte Prep — Progress Tracker</t>
  </si>
  <si>
    <t>Metric</t>
  </si>
  <si>
    <t>Topic</t>
  </si>
  <si>
    <t>Difficulty</t>
  </si>
  <si>
    <t>Value</t>
  </si>
  <si>
    <t>No. of Questions</t>
  </si>
  <si>
    <t>Subtopic</t>
  </si>
  <si>
    <t>Total Questions</t>
  </si>
  <si>
    <t>Question Name</t>
  </si>
  <si>
    <t>Arrays</t>
  </si>
  <si>
    <t>Easy</t>
  </si>
  <si>
    <t>Platform</t>
  </si>
  <si>
    <t>Direct Practice Link</t>
  </si>
  <si>
    <t>Asked in Deloitte?</t>
  </si>
  <si>
    <t>Similar to Deloitte?</t>
  </si>
  <si>
    <t>Importance</t>
  </si>
  <si>
    <t>Status</t>
  </si>
  <si>
    <t>Solved (Status = Done)</t>
  </si>
  <si>
    <t>Basic</t>
  </si>
  <si>
    <t>Easy-Medium</t>
  </si>
  <si>
    <t>Mathematics</t>
  </si>
  <si>
    <t>Two Sum</t>
  </si>
  <si>
    <t>LeetCode</t>
  </si>
  <si>
    <t>In Progress (Status = In Progress)</t>
  </si>
  <si>
    <t>https://leetcode.com/problems/two-sum/</t>
  </si>
  <si>
    <t>Medium</t>
  </si>
  <si>
    <t>Not Started</t>
  </si>
  <si>
    <t>Strings</t>
  </si>
  <si>
    <t>Number Theory</t>
  </si>
  <si>
    <t>Total</t>
  </si>
  <si>
    <t>Completion %</t>
  </si>
  <si>
    <t>Community Report</t>
  </si>
  <si>
    <t>Yes</t>
  </si>
  <si>
    <t>Frequency Counting</t>
  </si>
  <si>
    <t>High</t>
  </si>
  <si>
    <t>High Importance Solved</t>
  </si>
  <si>
    <t>HashMap / HashSet</t>
  </si>
  <si>
    <t>Contains Duplicate</t>
  </si>
  <si>
    <t>https://leetcode.com/problems/contains-duplicate/</t>
  </si>
  <si>
    <t>Intervals</t>
  </si>
  <si>
    <t>Total High Importance Qs</t>
  </si>
  <si>
    <t>Sorting</t>
  </si>
  <si>
    <t>Instructions:</t>
  </si>
  <si>
    <t>1. Go to 'Master Sheet (100 Qs)', column K (Status).</t>
  </si>
  <si>
    <t>2. Type 'Done', 'In Progress', or leave blank for each question as you practice.</t>
  </si>
  <si>
    <t>Binary Search</t>
  </si>
  <si>
    <t>3. This tracker updates automatically using formulas.</t>
  </si>
  <si>
    <t>Best Time to Buy and Sell Stock</t>
  </si>
  <si>
    <t>Two Pointers</t>
  </si>
  <si>
    <t>https://leetcode.com/problems/best-time-to-buy-and-sell-stock/</t>
  </si>
  <si>
    <t>Sliding Window</t>
  </si>
  <si>
    <t>Prefix Sum</t>
  </si>
  <si>
    <t>Matrix</t>
  </si>
  <si>
    <t>Move Zeroes</t>
  </si>
  <si>
    <t>Recursion</t>
  </si>
  <si>
    <t>https://leetcode.com/problems/move-zeroes/</t>
  </si>
  <si>
    <t>Basic Backtracking</t>
  </si>
  <si>
    <t>Similar</t>
  </si>
  <si>
    <t>Stack</t>
  </si>
  <si>
    <t>Queue</t>
  </si>
  <si>
    <t>Rotation</t>
  </si>
  <si>
    <t>Rotate Array</t>
  </si>
  <si>
    <t>https://leetcode.com/problems/rotate-array/</t>
  </si>
  <si>
    <t>Linked List</t>
  </si>
  <si>
    <t>Trees</t>
  </si>
  <si>
    <t>Binary Search Trees</t>
  </si>
  <si>
    <t>Kadane's Algorithm</t>
  </si>
  <si>
    <t>Maximum Subarray</t>
  </si>
  <si>
    <t>Pattern-based Logic</t>
  </si>
  <si>
    <t>https://leetcode.com/problems/maximum-subarray/</t>
  </si>
  <si>
    <t>Heap / Priority Queue</t>
  </si>
  <si>
    <t>Greedy Algorithms</t>
  </si>
  <si>
    <t>Voting Algorithm</t>
  </si>
  <si>
    <t>Majority Element</t>
  </si>
  <si>
    <t>Simulation</t>
  </si>
  <si>
    <t>https://leetcode.com/problems/majority-element/</t>
  </si>
  <si>
    <t>Dynamic Programming</t>
  </si>
  <si>
    <t>Graph Basics</t>
  </si>
  <si>
    <t>Bit Manipulation</t>
  </si>
  <si>
    <t>Prefix Product</t>
  </si>
  <si>
    <t>Product of Array Except Self</t>
  </si>
  <si>
    <t>https://leetcode.com/problems/product-of-array-except-self/</t>
  </si>
  <si>
    <t>Miscellaneous</t>
  </si>
  <si>
    <t>Merging</t>
  </si>
  <si>
    <t>Merge Sorted Array</t>
  </si>
  <si>
    <t>https://leetcode.com/problems/merge-sorted-array/</t>
  </si>
  <si>
    <t>Sort Colors (Dutch National Flag)</t>
  </si>
  <si>
    <t>https://leetcode.com/problems/sort-colors/</t>
  </si>
  <si>
    <t>Missing Element</t>
  </si>
  <si>
    <t>Missing Number</t>
  </si>
  <si>
    <t>https://leetcode.com/problems/missing-number/</t>
  </si>
  <si>
    <t>Digit Manipulation</t>
  </si>
  <si>
    <t>Armstrong Number</t>
  </si>
  <si>
    <t>GeeksforGeeks</t>
  </si>
  <si>
    <t>https://www.geeksforgeeks.org/c-program-to-check-armstrong-number/</t>
  </si>
  <si>
    <t>Anagram</t>
  </si>
  <si>
    <t>Valid Anagram</t>
  </si>
  <si>
    <t>https://leetcode.com/problems/valid-anagram/</t>
  </si>
  <si>
    <t>Palindrome</t>
  </si>
  <si>
    <t>Valid Palindrome</t>
  </si>
  <si>
    <t>https://leetcode.com/problems/valid-palindrome/</t>
  </si>
  <si>
    <t>Reversal</t>
  </si>
  <si>
    <t>Reverse Words in a String</t>
  </si>
  <si>
    <t>https://leetcode.com/problems/reverse-words-in-a-string/</t>
  </si>
  <si>
    <t>Longest Substring Without Repeating Characters</t>
  </si>
  <si>
    <t>https://leetcode.com/problems/longest-substring-without-repeating-characters/</t>
  </si>
  <si>
    <t>Compression</t>
  </si>
  <si>
    <t>String Compression</t>
  </si>
  <si>
    <t>https://leetcode.com/problems/string-compression/</t>
  </si>
  <si>
    <t>Parsing</t>
  </si>
  <si>
    <t>Roman to Integer</t>
  </si>
  <si>
    <t>https://leetcode.com/problems/roman-to-integer/</t>
  </si>
  <si>
    <t>GCD</t>
  </si>
  <si>
    <t>GCD of Two Numbers (Euclidean Algorithm)</t>
  </si>
  <si>
    <t>https://www.geeksforgeeks.org/c-program-for-basic-euclidean-algorithms/</t>
  </si>
  <si>
    <t>Grouping</t>
  </si>
  <si>
    <t>Group Anagrams</t>
  </si>
  <si>
    <t>https://leetcode.com/problems/group-anagrams/</t>
  </si>
  <si>
    <t>Counting</t>
  </si>
  <si>
    <t>First Unique Character in a String</t>
  </si>
  <si>
    <t>https://leetcode.com/problems/first-unique-character-in-a-string/</t>
  </si>
  <si>
    <t>Longest Common Prefix</t>
  </si>
  <si>
    <t>https://leetcode.com/problems/longest-common-prefix/</t>
  </si>
  <si>
    <t>Frequency Map</t>
  </si>
  <si>
    <t>Majority Element II</t>
  </si>
  <si>
    <t>https://leetcode.com/problems/majority-element-ii/</t>
  </si>
  <si>
    <t>Frequency</t>
  </si>
  <si>
    <t>Top K Frequent Elements</t>
  </si>
  <si>
    <t>https://leetcode.com/problems/top-k-frequent-elements/</t>
  </si>
  <si>
    <t>Set Operations</t>
  </si>
  <si>
    <t>Intersection of Two Arrays</t>
  </si>
  <si>
    <t>https://leetcode.com/problems/intersection-of-two-arrays/</t>
  </si>
  <si>
    <t>Subarray</t>
  </si>
  <si>
    <t>Subarray Sum Equals K</t>
  </si>
  <si>
    <t>https://leetcode.com/problems/subarray-sum-equals-k/</t>
  </si>
  <si>
    <t>Sequence</t>
  </si>
  <si>
    <t>Longest Consecutive Sequence</t>
  </si>
  <si>
    <t>https://leetcode.com/problems/longest-consecutive-sequence/</t>
  </si>
  <si>
    <t>Sorting + Merge</t>
  </si>
  <si>
    <t>Merge Intervals</t>
  </si>
  <si>
    <t>https://leetcode.com/problems/merge-intervals/</t>
  </si>
  <si>
    <t>Custom Sort</t>
  </si>
  <si>
    <t>Sort an Array</t>
  </si>
  <si>
    <t>https://leetcode.com/problems/sort-an-array/</t>
  </si>
  <si>
    <t>Kth Element</t>
  </si>
  <si>
    <t>Kth Largest Element in an Array</t>
  </si>
  <si>
    <t>https://leetcode.com/problems/kth-largest-element-in-an-array/</t>
  </si>
  <si>
    <t>Overlap Check</t>
  </si>
  <si>
    <t>Meeting Rooms</t>
  </si>
  <si>
    <t>https://leetcode.com/problems/meeting-rooms/</t>
  </si>
  <si>
    <t>https://leetcode.com/problems/binary-search/</t>
  </si>
  <si>
    <t>Insert Position</t>
  </si>
  <si>
    <t>Search Insert Position</t>
  </si>
  <si>
    <t>https://leetcode.com/problems/search-insert-position/</t>
  </si>
  <si>
    <t>Boundary Search</t>
  </si>
  <si>
    <t>First Bad Version</t>
  </si>
  <si>
    <t>https://leetcode.com/problems/first-bad-version/</t>
  </si>
  <si>
    <t>Rotated Array</t>
  </si>
  <si>
    <t>Search in Rotated Sorted Array</t>
  </si>
  <si>
    <t>https://leetcode.com/problems/search-in-rotated-sorted-array/</t>
  </si>
  <si>
    <t>Range Search</t>
  </si>
  <si>
    <t>Find First and Last Position of Element in Sorted Array</t>
  </si>
  <si>
    <t>https://leetcode.com/problems/find-first-and-last-position-of-element-in-sorted-array/</t>
  </si>
  <si>
    <t>Math</t>
  </si>
  <si>
    <t>Sqrt(x)</t>
  </si>
  <si>
    <t>https://leetcode.com/problems/sqrtx/</t>
  </si>
  <si>
    <t>Low</t>
  </si>
  <si>
    <t>Sum</t>
  </si>
  <si>
    <t>3Sum</t>
  </si>
  <si>
    <t>https://leetcode.com/problems/3sum/</t>
  </si>
  <si>
    <t>Container</t>
  </si>
  <si>
    <t>Container With Most Water</t>
  </si>
  <si>
    <t>https://leetcode.com/problems/container-with-most-water/</t>
  </si>
  <si>
    <t>Removal</t>
  </si>
  <si>
    <t>Remove Duplicates from Sorted Array</t>
  </si>
  <si>
    <t>https://leetcode.com/problems/remove-duplicates-from-sorted-array/</t>
  </si>
  <si>
    <t>LCM</t>
  </si>
  <si>
    <t>LCM of Two Numbers</t>
  </si>
  <si>
    <t>https://www.geeksforgeeks.org/program-to-find-lcm-of-two-numbers/</t>
  </si>
  <si>
    <t>Fixed Window</t>
  </si>
  <si>
    <t>Maximum Average Subarray I</t>
  </si>
  <si>
    <t>https://leetcode.com/problems/maximum-average-subarray-i/</t>
  </si>
  <si>
    <t>Variable Window</t>
  </si>
  <si>
    <t>Minimum Size Subarray Sum</t>
  </si>
  <si>
    <t>https://leetcode.com/problems/minimum-size-subarray-sum/</t>
  </si>
  <si>
    <t>Char Frequency</t>
  </si>
  <si>
    <t>Permutation in String</t>
  </si>
  <si>
    <t>https://leetcode.com/problems/permutation-in-string/</t>
  </si>
  <si>
    <t>Range Sum</t>
  </si>
  <si>
    <t>Range Sum Query - Immutable</t>
  </si>
  <si>
    <t>https://leetcode.com/problems/range-sum-query-immutable/</t>
  </si>
  <si>
    <t>Equilibrium Point</t>
  </si>
  <si>
    <t>Find Pivot Index</t>
  </si>
  <si>
    <t>https://leetcode.com/problems/find-pivot-index/</t>
  </si>
  <si>
    <t>Traversal</t>
  </si>
  <si>
    <t>Spiral Matrix</t>
  </si>
  <si>
    <t>https://leetcode.com/problems/spiral-matrix/</t>
  </si>
  <si>
    <t>Rotate Image</t>
  </si>
  <si>
    <t>https://leetcode.com/problems/rotate-image/</t>
  </si>
  <si>
    <t>Search</t>
  </si>
  <si>
    <t>Search a 2D Matrix</t>
  </si>
  <si>
    <t>https://leetcode.com/problems/search-a-2d-matrix/</t>
  </si>
  <si>
    <t>Modification</t>
  </si>
  <si>
    <t>Set Matrix Zeroes</t>
  </si>
  <si>
    <t>https://leetcode.com/problems/set-matrix-zeroes/</t>
  </si>
  <si>
    <t>Fibonacci Number</t>
  </si>
  <si>
    <t>https://leetcode.com/problems/fibonacci-number/</t>
  </si>
  <si>
    <t>Power/Exponent</t>
  </si>
  <si>
    <t>Pow(x, n)</t>
  </si>
  <si>
    <t>https://leetcode.com/problems/powx-n/</t>
  </si>
  <si>
    <t>Digit Sum</t>
  </si>
  <si>
    <t>Add Digits</t>
  </si>
  <si>
    <t>https://leetcode.com/problems/add-digits/</t>
  </si>
  <si>
    <t>Subsets</t>
  </si>
  <si>
    <t>https://leetcode.com/problems/subsets/</t>
  </si>
  <si>
    <t>Permutations</t>
  </si>
  <si>
    <t>https://leetcode.com/problems/permutations/</t>
  </si>
  <si>
    <t>Combination</t>
  </si>
  <si>
    <t>Combination Sum</t>
  </si>
  <si>
    <t>https://leetcode.com/problems/combination-sum/</t>
  </si>
  <si>
    <t>Validity Check</t>
  </si>
  <si>
    <t>Valid Parentheses</t>
  </si>
  <si>
    <t>https://leetcode.com/problems/valid-parentheses/</t>
  </si>
  <si>
    <t>Design</t>
  </si>
  <si>
    <t>Min Stack</t>
  </si>
  <si>
    <t>https://leetcode.com/problems/min-stack/</t>
  </si>
  <si>
    <t>Evaluation</t>
  </si>
  <si>
    <t>Evaluate Reverse Polish Notation</t>
  </si>
  <si>
    <t>https://leetcode.com/problems/evaluate-reverse-polish-notation/</t>
  </si>
  <si>
    <t>Monotonic Stack</t>
  </si>
  <si>
    <t>Daily Temperatures</t>
  </si>
  <si>
    <t>https://leetcode.com/problems/daily-temperatures/</t>
  </si>
  <si>
    <t>Path Simplification</t>
  </si>
  <si>
    <t>Simplify Path</t>
  </si>
  <si>
    <t>https://leetcode.com/problems/simplify-path/</t>
  </si>
  <si>
    <t>Implement Queue using Stacks</t>
  </si>
  <si>
    <t>https://leetcode.com/problems/implement-queue-using-stacks/</t>
  </si>
  <si>
    <t>Prime Factorization</t>
  </si>
  <si>
    <t>Prime Factors of a Number</t>
  </si>
  <si>
    <t>https://www.geeksforgeeks.org/prime-factor/</t>
  </si>
  <si>
    <t>Sliding Window Maximum</t>
  </si>
  <si>
    <t>https://leetcode.com/problems/sliding-window-maximum/</t>
  </si>
  <si>
    <t>Reverse Linked List</t>
  </si>
  <si>
    <t>https://leetcode.com/problems/reverse-linked-list/</t>
  </si>
  <si>
    <t>Two Pointer</t>
  </si>
  <si>
    <t>Middle of the Linked List</t>
  </si>
  <si>
    <t>https://leetcode.com/problems/middle-of-the-linked-list/</t>
  </si>
  <si>
    <t>Cycle Detection</t>
  </si>
  <si>
    <t>Linked List Cycle</t>
  </si>
  <si>
    <t>https://leetcode.com/problems/linked-list-cycle/</t>
  </si>
  <si>
    <t>Merge</t>
  </si>
  <si>
    <t>Merge Two Sorted Lists</t>
  </si>
  <si>
    <t>https://leetcode.com/problems/merge-two-sorted-lists/</t>
  </si>
  <si>
    <t>Remove Nth Node From End of List</t>
  </si>
  <si>
    <t>https://leetcode.com/problems/remove-nth-node-from-end-of-list/</t>
  </si>
  <si>
    <t>Palindrome Check</t>
  </si>
  <si>
    <t>Palindrome Linked List</t>
  </si>
  <si>
    <t>https://leetcode.com/problems/palindrome-linked-list/</t>
  </si>
  <si>
    <t>Intersection</t>
  </si>
  <si>
    <t>Intersection of Two Linked Lists</t>
  </si>
  <si>
    <t>https://leetcode.com/problems/intersection-of-two-linked-lists/</t>
  </si>
  <si>
    <t>Maximum Depth of Binary Tree</t>
  </si>
  <si>
    <t>https://leetcode.com/problems/maximum-depth-of-binary-tree/</t>
  </si>
  <si>
    <t>BFS</t>
  </si>
  <si>
    <t>Binary Tree Level Order Traversal</t>
  </si>
  <si>
    <t>https://leetcode.com/problems/binary-tree-level-order-traversal/</t>
  </si>
  <si>
    <t>Diameter</t>
  </si>
  <si>
    <t>Diameter of Binary Tree</t>
  </si>
  <si>
    <t>https://leetcode.com/problems/diameter-of-binary-tree/</t>
  </si>
  <si>
    <t>Invert Binary Tree</t>
  </si>
  <si>
    <t>https://leetcode.com/problems/invert-binary-tree/</t>
  </si>
  <si>
    <t>Symmetry Check</t>
  </si>
  <si>
    <t>Symmetric Tree</t>
  </si>
  <si>
    <t>https://leetcode.com/problems/symmetric-tree/</t>
  </si>
  <si>
    <t>Path Sum</t>
  </si>
  <si>
    <t>https://leetcode.com/problems/path-sum/</t>
  </si>
  <si>
    <t>Validation</t>
  </si>
  <si>
    <t>Validate Binary Search Tree</t>
  </si>
  <si>
    <t>https://leetcode.com/problems/validate-binary-search-tree/</t>
  </si>
  <si>
    <t>Lowest Common Ancestor</t>
  </si>
  <si>
    <t>Lowest Common Ancestor of a Binary Search Tree</t>
  </si>
  <si>
    <t>https://leetcode.com/problems/lowest-common-ancestor-of-a-binary-search-tree/</t>
  </si>
  <si>
    <t>Pattern Printing</t>
  </si>
  <si>
    <t>Star / Number Pattern Printing</t>
  </si>
  <si>
    <t>https://www.geeksforgeeks.org/printing-patterns-using-loops/</t>
  </si>
  <si>
    <t>Kth Largest</t>
  </si>
  <si>
    <t>Kth Largest Element in a Stream</t>
  </si>
  <si>
    <t>https://leetcode.com/problems/kth-largest-element-in-a-stream/</t>
  </si>
  <si>
    <t>Merge k Sorted Lists</t>
  </si>
  <si>
    <t>https://leetcode.com/problems/merge-k-sorted-lists/</t>
  </si>
  <si>
    <t>Top K</t>
  </si>
  <si>
    <t>Top K Frequent Words</t>
  </si>
  <si>
    <t>https://leetcode.com/problems/top-k-frequent-words/</t>
  </si>
  <si>
    <t>Jump Game</t>
  </si>
  <si>
    <t>https://leetcode.com/problems/jump-game/</t>
  </si>
  <si>
    <t>Interval Scheduling</t>
  </si>
  <si>
    <t>Non-overlapping Intervals</t>
  </si>
  <si>
    <t>https://leetcode.com/problems/non-overlapping-intervals/</t>
  </si>
  <si>
    <t>Grid Simulation</t>
  </si>
  <si>
    <t>Robot Return to Origin</t>
  </si>
  <si>
    <t>https://leetcode.com/problems/robot-return-to-origin/</t>
  </si>
  <si>
    <t>1D DP</t>
  </si>
  <si>
    <t>Climbing Stairs</t>
  </si>
  <si>
    <t>https://leetcode.com/problems/climbing-stairs/</t>
  </si>
  <si>
    <t>House Robber</t>
  </si>
  <si>
    <t>https://leetcode.com/problems/house-robber/</t>
  </si>
  <si>
    <t>Coin Change</t>
  </si>
  <si>
    <t>https://leetcode.com/problems/coin-change/</t>
  </si>
  <si>
    <t>Subsequence</t>
  </si>
  <si>
    <t>Longest Increasing Subsequence</t>
  </si>
  <si>
    <t>https://leetcode.com/problems/longest-increasing-subsequence/</t>
  </si>
  <si>
    <t>Grid DP</t>
  </si>
  <si>
    <t>Unique Paths</t>
  </si>
  <si>
    <t>https://leetcode.com/problems/unique-paths/</t>
  </si>
  <si>
    <t>Flood Fill</t>
  </si>
  <si>
    <t>https://leetcode.com/problems/flood-fill/</t>
  </si>
  <si>
    <t>Islands / DFS</t>
  </si>
  <si>
    <t>Number of Islands</t>
  </si>
  <si>
    <t>https://leetcode.com/problems/number-of-islands/</t>
  </si>
  <si>
    <t>Rotting Oranges</t>
  </si>
  <si>
    <t>https://leetcode.com/problems/rotting-oranges/</t>
  </si>
  <si>
    <t>DFS</t>
  </si>
  <si>
    <t>Clone Graph</t>
  </si>
  <si>
    <t>https://leetcode.com/problems/clone-graph/</t>
  </si>
  <si>
    <t>XOR</t>
  </si>
  <si>
    <t>Single Number</t>
  </si>
  <si>
    <t>https://leetcode.com/problems/single-number/</t>
  </si>
  <si>
    <t>Number Reversal</t>
  </si>
  <si>
    <t>Palindrome Number</t>
  </si>
  <si>
    <t>https://leetcode.com/problems/palindrome-number/</t>
  </si>
  <si>
    <t>Bit Counting DP</t>
  </si>
  <si>
    <t>Counting Bits</t>
  </si>
  <si>
    <t>https://leetcode.com/problems/counting-bits/</t>
  </si>
  <si>
    <t>Sieve of Eratosthenes</t>
  </si>
  <si>
    <t>Count Primes</t>
  </si>
  <si>
    <t>https://leetcode.com/problems/count-primes/</t>
  </si>
  <si>
    <t>String Math</t>
  </si>
  <si>
    <t>Greatest Common Divisor of Strings</t>
  </si>
  <si>
    <t>https://leetcode.com/problems/greatest-common-divisor-of-strings/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</si>
</sst>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4.0"/>
      <color rgb="FF1F4E78"/>
      <name val="Arial"/>
    </font>
    <font>
      <b/>
      <sz val="11.0"/>
      <color rgb="FFFFFFFF"/>
      <name val="Arial"/>
    </font>
    <font>
      <sz val="10.0"/>
      <color theme="1"/>
      <name val="Arial"/>
    </font>
    <font>
      <sz val="11.0"/>
      <color theme="1"/>
      <name val="Calibri"/>
    </font>
    <font>
      <u/>
      <sz val="10.0"/>
      <color rgb="FF0563C1"/>
      <name val="Arial"/>
    </font>
    <font>
      <b/>
      <sz val="11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FCE4D6"/>
        <bgColor rgb="FFFCE4D6"/>
      </patternFill>
    </fill>
    <fill>
      <patternFill patternType="solid">
        <fgColor rgb="FFDDEBF7"/>
        <bgColor rgb="FFDDEBF7"/>
      </patternFill>
    </fill>
    <fill>
      <patternFill patternType="solid">
        <fgColor rgb="FFF2F2F2"/>
        <bgColor rgb="FFF2F2F2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3" fontId="3" numFmtId="0" xfId="0" applyAlignment="1" applyBorder="1" applyFill="1" applyFont="1">
      <alignment horizontal="left" shrinkToFit="0" vertical="center" wrapText="1"/>
    </xf>
    <xf borderId="1" fillId="4" fontId="3" numFmtId="0" xfId="0" applyAlignment="1" applyBorder="1" applyFill="1" applyFont="1">
      <alignment horizontal="left" shrinkToFit="0" vertical="center" wrapText="1"/>
    </xf>
    <xf borderId="1" fillId="3" fontId="3" numFmtId="0" xfId="0" applyAlignment="1" applyBorder="1" applyFont="1">
      <alignment horizontal="center" shrinkToFit="0" vertical="center" wrapText="1"/>
    </xf>
    <xf borderId="1" fillId="5" fontId="3" numFmtId="0" xfId="0" applyAlignment="1" applyBorder="1" applyFill="1" applyFont="1">
      <alignment horizontal="left" shrinkToFit="0" vertical="center" wrapText="1"/>
    </xf>
    <xf borderId="1" fillId="0" fontId="4" numFmtId="0" xfId="0" applyAlignment="1" applyBorder="1" applyFont="1">
      <alignment shrinkToFit="0" vertical="bottom" wrapText="0"/>
    </xf>
    <xf borderId="1" fillId="0" fontId="5" numFmtId="0" xfId="0" applyAlignment="1" applyBorder="1" applyFont="1">
      <alignment horizontal="left" shrinkToFit="0" vertical="center" wrapText="1"/>
    </xf>
    <xf borderId="1" fillId="0" fontId="6" numFmtId="0" xfId="0" applyAlignment="1" applyBorder="1" applyFont="1">
      <alignment shrinkToFit="0" vertical="bottom" wrapText="0"/>
    </xf>
    <xf borderId="1" fillId="6" fontId="3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shrinkToFit="0" vertical="bottom" wrapText="0"/>
    </xf>
    <xf borderId="1" fillId="7" fontId="3" numFmtId="0" xfId="0" applyAlignment="1" applyBorder="1" applyFill="1" applyFont="1">
      <alignment horizontal="center" shrinkToFit="0" vertical="center" wrapText="1"/>
    </xf>
    <xf borderId="1" fillId="5" fontId="3" numFmtId="0" xfId="0" applyAlignment="1" applyBorder="1" applyFont="1">
      <alignment horizontal="center" shrinkToFit="0" vertical="center" wrapText="1"/>
    </xf>
    <xf borderId="1" fillId="4" fontId="3" numFmtId="0" xfId="0" applyAlignment="1" applyBorder="1" applyFont="1">
      <alignment horizontal="center" shrinkToFit="0" vertical="center" wrapText="1"/>
    </xf>
    <xf borderId="1" fillId="8" fontId="3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remove-duplicates-from-sorted-array/" TargetMode="External"/><Relationship Id="rId42" Type="http://schemas.openxmlformats.org/officeDocument/2006/relationships/hyperlink" Target="https://leetcode.com/problems/maximum-average-subarray-i/" TargetMode="External"/><Relationship Id="rId41" Type="http://schemas.openxmlformats.org/officeDocument/2006/relationships/hyperlink" Target="https://www.geeksforgeeks.org/program-to-find-lcm-of-two-numbers/" TargetMode="External"/><Relationship Id="rId44" Type="http://schemas.openxmlformats.org/officeDocument/2006/relationships/hyperlink" Target="https://leetcode.com/problems/permutation-in-string/" TargetMode="External"/><Relationship Id="rId43" Type="http://schemas.openxmlformats.org/officeDocument/2006/relationships/hyperlink" Target="https://leetcode.com/problems/minimum-size-subarray-sum/" TargetMode="External"/><Relationship Id="rId46" Type="http://schemas.openxmlformats.org/officeDocument/2006/relationships/hyperlink" Target="https://leetcode.com/problems/find-pivot-index/" TargetMode="External"/><Relationship Id="rId45" Type="http://schemas.openxmlformats.org/officeDocument/2006/relationships/hyperlink" Target="https://leetcode.com/problems/range-sum-query-immutable/" TargetMode="External"/><Relationship Id="rId48" Type="http://schemas.openxmlformats.org/officeDocument/2006/relationships/hyperlink" Target="https://leetcode.com/problems/rotate-image/" TargetMode="External"/><Relationship Id="rId47" Type="http://schemas.openxmlformats.org/officeDocument/2006/relationships/hyperlink" Target="https://leetcode.com/problems/spiral-matrix/" TargetMode="External"/><Relationship Id="rId49" Type="http://schemas.openxmlformats.org/officeDocument/2006/relationships/hyperlink" Target="https://leetcode.com/problems/search-a-2d-matrix/" TargetMode="External"/><Relationship Id="rId101" Type="http://schemas.openxmlformats.org/officeDocument/2006/relationships/drawing" Target="../drawings/drawing1.xml"/><Relationship Id="rId100" Type="http://schemas.openxmlformats.org/officeDocument/2006/relationships/hyperlink" Target="https://leetcode.com/problems/greatest-common-divisor-of-strings/" TargetMode="External"/><Relationship Id="rId31" Type="http://schemas.openxmlformats.org/officeDocument/2006/relationships/hyperlink" Target="https://leetcode.com/problems/meeting-rooms/" TargetMode="External"/><Relationship Id="rId30" Type="http://schemas.openxmlformats.org/officeDocument/2006/relationships/hyperlink" Target="https://leetcode.com/problems/kth-largest-element-in-an-array/" TargetMode="External"/><Relationship Id="rId33" Type="http://schemas.openxmlformats.org/officeDocument/2006/relationships/hyperlink" Target="https://leetcode.com/problems/search-insert-position/" TargetMode="External"/><Relationship Id="rId32" Type="http://schemas.openxmlformats.org/officeDocument/2006/relationships/hyperlink" Target="https://leetcode.com/problems/binary-search/" TargetMode="External"/><Relationship Id="rId35" Type="http://schemas.openxmlformats.org/officeDocument/2006/relationships/hyperlink" Target="https://leetcode.com/problems/search-in-rotated-sorted-array/" TargetMode="External"/><Relationship Id="rId34" Type="http://schemas.openxmlformats.org/officeDocument/2006/relationships/hyperlink" Target="https://leetcode.com/problems/first-bad-version/" TargetMode="External"/><Relationship Id="rId37" Type="http://schemas.openxmlformats.org/officeDocument/2006/relationships/hyperlink" Target="https://leetcode.com/problems/sqrtx/" TargetMode="External"/><Relationship Id="rId36" Type="http://schemas.openxmlformats.org/officeDocument/2006/relationships/hyperlink" Target="https://leetcode.com/problems/find-first-and-last-position-of-element-in-sorted-array/" TargetMode="External"/><Relationship Id="rId39" Type="http://schemas.openxmlformats.org/officeDocument/2006/relationships/hyperlink" Target="https://leetcode.com/problems/container-with-most-water/" TargetMode="External"/><Relationship Id="rId38" Type="http://schemas.openxmlformats.org/officeDocument/2006/relationships/hyperlink" Target="https://leetcode.com/problems/3sum/" TargetMode="External"/><Relationship Id="rId20" Type="http://schemas.openxmlformats.org/officeDocument/2006/relationships/hyperlink" Target="https://leetcode.com/problems/group-anagrams/" TargetMode="External"/><Relationship Id="rId22" Type="http://schemas.openxmlformats.org/officeDocument/2006/relationships/hyperlink" Target="https://leetcode.com/problems/longest-common-prefix/" TargetMode="External"/><Relationship Id="rId21" Type="http://schemas.openxmlformats.org/officeDocument/2006/relationships/hyperlink" Target="https://leetcode.com/problems/first-unique-character-in-a-string/" TargetMode="External"/><Relationship Id="rId24" Type="http://schemas.openxmlformats.org/officeDocument/2006/relationships/hyperlink" Target="https://leetcode.com/problems/top-k-frequent-elements/" TargetMode="External"/><Relationship Id="rId23" Type="http://schemas.openxmlformats.org/officeDocument/2006/relationships/hyperlink" Target="https://leetcode.com/problems/majority-element-ii/" TargetMode="External"/><Relationship Id="rId26" Type="http://schemas.openxmlformats.org/officeDocument/2006/relationships/hyperlink" Target="https://leetcode.com/problems/subarray-sum-equals-k/" TargetMode="External"/><Relationship Id="rId25" Type="http://schemas.openxmlformats.org/officeDocument/2006/relationships/hyperlink" Target="https://leetcode.com/problems/intersection-of-two-arrays/" TargetMode="External"/><Relationship Id="rId28" Type="http://schemas.openxmlformats.org/officeDocument/2006/relationships/hyperlink" Target="https://leetcode.com/problems/merge-intervals/" TargetMode="External"/><Relationship Id="rId27" Type="http://schemas.openxmlformats.org/officeDocument/2006/relationships/hyperlink" Target="https://leetcode.com/problems/longest-consecutive-sequence/" TargetMode="External"/><Relationship Id="rId29" Type="http://schemas.openxmlformats.org/officeDocument/2006/relationships/hyperlink" Target="https://leetcode.com/problems/sort-an-array/" TargetMode="External"/><Relationship Id="rId95" Type="http://schemas.openxmlformats.org/officeDocument/2006/relationships/hyperlink" Target="https://leetcode.com/problems/clone-graph/" TargetMode="External"/><Relationship Id="rId94" Type="http://schemas.openxmlformats.org/officeDocument/2006/relationships/hyperlink" Target="https://leetcode.com/problems/rotting-oranges/" TargetMode="External"/><Relationship Id="rId97" Type="http://schemas.openxmlformats.org/officeDocument/2006/relationships/hyperlink" Target="https://leetcode.com/problems/palindrome-number/" TargetMode="External"/><Relationship Id="rId96" Type="http://schemas.openxmlformats.org/officeDocument/2006/relationships/hyperlink" Target="https://leetcode.com/problems/single-number/" TargetMode="External"/><Relationship Id="rId11" Type="http://schemas.openxmlformats.org/officeDocument/2006/relationships/hyperlink" Target="https://leetcode.com/problems/missing-number/" TargetMode="External"/><Relationship Id="rId99" Type="http://schemas.openxmlformats.org/officeDocument/2006/relationships/hyperlink" Target="https://leetcode.com/problems/count-primes/" TargetMode="External"/><Relationship Id="rId10" Type="http://schemas.openxmlformats.org/officeDocument/2006/relationships/hyperlink" Target="https://leetcode.com/problems/sort-colors/" TargetMode="External"/><Relationship Id="rId98" Type="http://schemas.openxmlformats.org/officeDocument/2006/relationships/hyperlink" Target="https://leetcode.com/problems/counting-bits/" TargetMode="External"/><Relationship Id="rId13" Type="http://schemas.openxmlformats.org/officeDocument/2006/relationships/hyperlink" Target="https://leetcode.com/problems/valid-anagram/" TargetMode="External"/><Relationship Id="rId12" Type="http://schemas.openxmlformats.org/officeDocument/2006/relationships/hyperlink" Target="https://www.geeksforgeeks.org/c-program-to-check-armstrong-number/" TargetMode="External"/><Relationship Id="rId91" Type="http://schemas.openxmlformats.org/officeDocument/2006/relationships/hyperlink" Target="https://leetcode.com/problems/unique-paths/" TargetMode="External"/><Relationship Id="rId90" Type="http://schemas.openxmlformats.org/officeDocument/2006/relationships/hyperlink" Target="https://leetcode.com/problems/longest-increasing-subsequence/" TargetMode="External"/><Relationship Id="rId93" Type="http://schemas.openxmlformats.org/officeDocument/2006/relationships/hyperlink" Target="https://leetcode.com/problems/number-of-islands/" TargetMode="External"/><Relationship Id="rId92" Type="http://schemas.openxmlformats.org/officeDocument/2006/relationships/hyperlink" Target="https://leetcode.com/problems/flood-fill/" TargetMode="External"/><Relationship Id="rId15" Type="http://schemas.openxmlformats.org/officeDocument/2006/relationships/hyperlink" Target="https://leetcode.com/problems/reverse-words-in-a-string/" TargetMode="External"/><Relationship Id="rId14" Type="http://schemas.openxmlformats.org/officeDocument/2006/relationships/hyperlink" Target="https://leetcode.com/problems/valid-palindrome/" TargetMode="External"/><Relationship Id="rId17" Type="http://schemas.openxmlformats.org/officeDocument/2006/relationships/hyperlink" Target="https://leetcode.com/problems/string-compression/" TargetMode="External"/><Relationship Id="rId16" Type="http://schemas.openxmlformats.org/officeDocument/2006/relationships/hyperlink" Target="https://leetcode.com/problems/longest-substring-without-repeating-characters/" TargetMode="External"/><Relationship Id="rId19" Type="http://schemas.openxmlformats.org/officeDocument/2006/relationships/hyperlink" Target="https://www.geeksforgeeks.org/c-program-for-basic-euclidean-algorithms/" TargetMode="External"/><Relationship Id="rId18" Type="http://schemas.openxmlformats.org/officeDocument/2006/relationships/hyperlink" Target="https://leetcode.com/problems/roman-to-integer/" TargetMode="External"/><Relationship Id="rId84" Type="http://schemas.openxmlformats.org/officeDocument/2006/relationships/hyperlink" Target="https://leetcode.com/problems/jump-game/" TargetMode="External"/><Relationship Id="rId83" Type="http://schemas.openxmlformats.org/officeDocument/2006/relationships/hyperlink" Target="https://leetcode.com/problems/top-k-frequent-words/" TargetMode="External"/><Relationship Id="rId86" Type="http://schemas.openxmlformats.org/officeDocument/2006/relationships/hyperlink" Target="https://leetcode.com/problems/robot-return-to-origin/" TargetMode="External"/><Relationship Id="rId85" Type="http://schemas.openxmlformats.org/officeDocument/2006/relationships/hyperlink" Target="https://leetcode.com/problems/non-overlapping-intervals/" TargetMode="External"/><Relationship Id="rId88" Type="http://schemas.openxmlformats.org/officeDocument/2006/relationships/hyperlink" Target="https://leetcode.com/problems/house-robber/" TargetMode="External"/><Relationship Id="rId87" Type="http://schemas.openxmlformats.org/officeDocument/2006/relationships/hyperlink" Target="https://leetcode.com/problems/climbing-stairs/" TargetMode="External"/><Relationship Id="rId89" Type="http://schemas.openxmlformats.org/officeDocument/2006/relationships/hyperlink" Target="https://leetcode.com/problems/coin-change/" TargetMode="External"/><Relationship Id="rId80" Type="http://schemas.openxmlformats.org/officeDocument/2006/relationships/hyperlink" Target="https://www.geeksforgeeks.org/printing-patterns-using-loops/" TargetMode="External"/><Relationship Id="rId82" Type="http://schemas.openxmlformats.org/officeDocument/2006/relationships/hyperlink" Target="https://leetcode.com/problems/merge-k-sorted-lists/" TargetMode="External"/><Relationship Id="rId81" Type="http://schemas.openxmlformats.org/officeDocument/2006/relationships/hyperlink" Target="https://leetcode.com/problems/kth-largest-element-in-a-stream/" TargetMode="External"/><Relationship Id="rId1" Type="http://schemas.openxmlformats.org/officeDocument/2006/relationships/hyperlink" Target="https://leetcode.com/problems/two-sum/" TargetMode="External"/><Relationship Id="rId2" Type="http://schemas.openxmlformats.org/officeDocument/2006/relationships/hyperlink" Target="https://leetcode.com/problems/contains-duplicate/" TargetMode="External"/><Relationship Id="rId3" Type="http://schemas.openxmlformats.org/officeDocument/2006/relationships/hyperlink" Target="https://leetcode.com/problems/best-time-to-buy-and-sell-stock/" TargetMode="External"/><Relationship Id="rId4" Type="http://schemas.openxmlformats.org/officeDocument/2006/relationships/hyperlink" Target="https://leetcode.com/problems/move-zeroes/" TargetMode="External"/><Relationship Id="rId9" Type="http://schemas.openxmlformats.org/officeDocument/2006/relationships/hyperlink" Target="https://leetcode.com/problems/merge-sorted-array/" TargetMode="External"/><Relationship Id="rId5" Type="http://schemas.openxmlformats.org/officeDocument/2006/relationships/hyperlink" Target="https://leetcode.com/problems/rotate-array/" TargetMode="External"/><Relationship Id="rId6" Type="http://schemas.openxmlformats.org/officeDocument/2006/relationships/hyperlink" Target="https://leetcode.com/problems/maximum-subarray/" TargetMode="External"/><Relationship Id="rId7" Type="http://schemas.openxmlformats.org/officeDocument/2006/relationships/hyperlink" Target="https://leetcode.com/problems/majority-element/" TargetMode="External"/><Relationship Id="rId8" Type="http://schemas.openxmlformats.org/officeDocument/2006/relationships/hyperlink" Target="https://leetcode.com/problems/product-of-array-except-self/" TargetMode="External"/><Relationship Id="rId73" Type="http://schemas.openxmlformats.org/officeDocument/2006/relationships/hyperlink" Target="https://leetcode.com/problems/binary-tree-level-order-traversal/" TargetMode="External"/><Relationship Id="rId72" Type="http://schemas.openxmlformats.org/officeDocument/2006/relationships/hyperlink" Target="https://leetcode.com/problems/maximum-depth-of-binary-tree/" TargetMode="External"/><Relationship Id="rId75" Type="http://schemas.openxmlformats.org/officeDocument/2006/relationships/hyperlink" Target="https://leetcode.com/problems/invert-binary-tree/" TargetMode="External"/><Relationship Id="rId74" Type="http://schemas.openxmlformats.org/officeDocument/2006/relationships/hyperlink" Target="https://leetcode.com/problems/diameter-of-binary-tree/" TargetMode="External"/><Relationship Id="rId77" Type="http://schemas.openxmlformats.org/officeDocument/2006/relationships/hyperlink" Target="https://leetcode.com/problems/path-sum/" TargetMode="External"/><Relationship Id="rId76" Type="http://schemas.openxmlformats.org/officeDocument/2006/relationships/hyperlink" Target="https://leetcode.com/problems/symmetric-tree/" TargetMode="External"/><Relationship Id="rId79" Type="http://schemas.openxmlformats.org/officeDocument/2006/relationships/hyperlink" Target="https://leetcode.com/problems/lowest-common-ancestor-of-a-binary-search-tree/" TargetMode="External"/><Relationship Id="rId78" Type="http://schemas.openxmlformats.org/officeDocument/2006/relationships/hyperlink" Target="https://leetcode.com/problems/validate-binary-search-tree/" TargetMode="External"/><Relationship Id="rId71" Type="http://schemas.openxmlformats.org/officeDocument/2006/relationships/hyperlink" Target="https://leetcode.com/problems/intersection-of-two-linked-lists/" TargetMode="External"/><Relationship Id="rId70" Type="http://schemas.openxmlformats.org/officeDocument/2006/relationships/hyperlink" Target="https://leetcode.com/problems/palindrome-linked-list/" TargetMode="External"/><Relationship Id="rId62" Type="http://schemas.openxmlformats.org/officeDocument/2006/relationships/hyperlink" Target="https://leetcode.com/problems/implement-queue-using-stacks/" TargetMode="External"/><Relationship Id="rId61" Type="http://schemas.openxmlformats.org/officeDocument/2006/relationships/hyperlink" Target="https://leetcode.com/problems/simplify-path/" TargetMode="External"/><Relationship Id="rId64" Type="http://schemas.openxmlformats.org/officeDocument/2006/relationships/hyperlink" Target="https://leetcode.com/problems/sliding-window-maximum/" TargetMode="External"/><Relationship Id="rId63" Type="http://schemas.openxmlformats.org/officeDocument/2006/relationships/hyperlink" Target="https://www.geeksforgeeks.org/prime-factor/" TargetMode="External"/><Relationship Id="rId66" Type="http://schemas.openxmlformats.org/officeDocument/2006/relationships/hyperlink" Target="https://leetcode.com/problems/middle-of-the-linked-list/" TargetMode="External"/><Relationship Id="rId65" Type="http://schemas.openxmlformats.org/officeDocument/2006/relationships/hyperlink" Target="https://leetcode.com/problems/reverse-linked-list/" TargetMode="External"/><Relationship Id="rId68" Type="http://schemas.openxmlformats.org/officeDocument/2006/relationships/hyperlink" Target="https://leetcode.com/problems/merge-two-sorted-lists/" TargetMode="External"/><Relationship Id="rId67" Type="http://schemas.openxmlformats.org/officeDocument/2006/relationships/hyperlink" Target="https://leetcode.com/problems/linked-list-cycle/" TargetMode="External"/><Relationship Id="rId60" Type="http://schemas.openxmlformats.org/officeDocument/2006/relationships/hyperlink" Target="https://leetcode.com/problems/daily-temperatures/" TargetMode="External"/><Relationship Id="rId69" Type="http://schemas.openxmlformats.org/officeDocument/2006/relationships/hyperlink" Target="https://leetcode.com/problems/remove-nth-node-from-end-of-list/" TargetMode="External"/><Relationship Id="rId51" Type="http://schemas.openxmlformats.org/officeDocument/2006/relationships/hyperlink" Target="https://leetcode.com/problems/fibonacci-number/" TargetMode="External"/><Relationship Id="rId50" Type="http://schemas.openxmlformats.org/officeDocument/2006/relationships/hyperlink" Target="https://leetcode.com/problems/set-matrix-zeroes/" TargetMode="External"/><Relationship Id="rId53" Type="http://schemas.openxmlformats.org/officeDocument/2006/relationships/hyperlink" Target="https://leetcode.com/problems/add-digits/" TargetMode="External"/><Relationship Id="rId52" Type="http://schemas.openxmlformats.org/officeDocument/2006/relationships/hyperlink" Target="https://leetcode.com/problems/powx-n/" TargetMode="External"/><Relationship Id="rId55" Type="http://schemas.openxmlformats.org/officeDocument/2006/relationships/hyperlink" Target="https://leetcode.com/problems/permutations/" TargetMode="External"/><Relationship Id="rId54" Type="http://schemas.openxmlformats.org/officeDocument/2006/relationships/hyperlink" Target="https://leetcode.com/problems/subsets/" TargetMode="External"/><Relationship Id="rId57" Type="http://schemas.openxmlformats.org/officeDocument/2006/relationships/hyperlink" Target="https://leetcode.com/problems/valid-parentheses/" TargetMode="External"/><Relationship Id="rId56" Type="http://schemas.openxmlformats.org/officeDocument/2006/relationships/hyperlink" Target="https://leetcode.com/problems/combination-sum/" TargetMode="External"/><Relationship Id="rId59" Type="http://schemas.openxmlformats.org/officeDocument/2006/relationships/hyperlink" Target="https://leetcode.com/problems/evaluate-reverse-polish-notation/" TargetMode="External"/><Relationship Id="rId58" Type="http://schemas.openxmlformats.org/officeDocument/2006/relationships/hyperlink" Target="https://leetcode.com/problems/min-stack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0"/>
    <col customWidth="1" min="2" max="2" width="20.0"/>
    <col customWidth="1" min="3" max="3" width="24.0"/>
    <col customWidth="1" min="4" max="4" width="42.0"/>
    <col customWidth="1" min="5" max="5" width="13.0"/>
    <col customWidth="1" min="6" max="6" width="14.0"/>
    <col customWidth="1" min="7" max="7" width="48.0"/>
    <col customWidth="1" min="8" max="9" width="16.0"/>
    <col customWidth="1" min="10" max="10" width="12.0"/>
    <col customWidth="1" min="11" max="11" width="10.0"/>
    <col customWidth="1" min="12" max="26" width="8.71"/>
  </cols>
  <sheetData>
    <row r="1" ht="30.0" customHeight="1">
      <c r="A1" s="2" t="s">
        <v>1</v>
      </c>
      <c r="B1" s="2" t="s">
        <v>5</v>
      </c>
      <c r="C1" s="2" t="s">
        <v>9</v>
      </c>
      <c r="D1" s="2" t="s">
        <v>11</v>
      </c>
      <c r="E1" s="2" t="s">
        <v>6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19</v>
      </c>
    </row>
    <row r="2">
      <c r="A2" s="4">
        <v>1.0</v>
      </c>
      <c r="B2" s="3" t="s">
        <v>12</v>
      </c>
      <c r="C2" s="3" t="s">
        <v>21</v>
      </c>
      <c r="D2" s="3" t="s">
        <v>24</v>
      </c>
      <c r="E2" s="7" t="s">
        <v>13</v>
      </c>
      <c r="F2" s="4" t="s">
        <v>25</v>
      </c>
      <c r="G2" s="10" t="s">
        <v>27</v>
      </c>
      <c r="H2" s="4" t="s">
        <v>34</v>
      </c>
      <c r="I2" s="4" t="s">
        <v>35</v>
      </c>
      <c r="J2" s="12" t="s">
        <v>37</v>
      </c>
      <c r="K2" s="4"/>
    </row>
    <row r="3">
      <c r="A3" s="4">
        <v>2.0</v>
      </c>
      <c r="B3" s="3" t="s">
        <v>12</v>
      </c>
      <c r="C3" s="3" t="s">
        <v>21</v>
      </c>
      <c r="D3" s="3" t="s">
        <v>40</v>
      </c>
      <c r="E3" s="7" t="s">
        <v>13</v>
      </c>
      <c r="F3" s="4" t="s">
        <v>25</v>
      </c>
      <c r="G3" s="10" t="s">
        <v>41</v>
      </c>
      <c r="H3" s="4" t="s">
        <v>34</v>
      </c>
      <c r="I3" s="4" t="s">
        <v>35</v>
      </c>
      <c r="J3" s="12" t="s">
        <v>37</v>
      </c>
      <c r="K3" s="4"/>
    </row>
    <row r="4">
      <c r="A4" s="4">
        <v>3.0</v>
      </c>
      <c r="B4" s="3" t="s">
        <v>12</v>
      </c>
      <c r="C4" s="3" t="s">
        <v>21</v>
      </c>
      <c r="D4" s="3" t="s">
        <v>50</v>
      </c>
      <c r="E4" s="7" t="s">
        <v>13</v>
      </c>
      <c r="F4" s="4" t="s">
        <v>25</v>
      </c>
      <c r="G4" s="10" t="s">
        <v>52</v>
      </c>
      <c r="H4" s="4" t="s">
        <v>34</v>
      </c>
      <c r="I4" s="4" t="s">
        <v>35</v>
      </c>
      <c r="J4" s="12" t="s">
        <v>37</v>
      </c>
      <c r="K4" s="4"/>
    </row>
    <row r="5">
      <c r="A5" s="4">
        <v>4.0</v>
      </c>
      <c r="B5" s="3" t="s">
        <v>12</v>
      </c>
      <c r="C5" s="3" t="s">
        <v>21</v>
      </c>
      <c r="D5" s="3" t="s">
        <v>56</v>
      </c>
      <c r="E5" s="7" t="s">
        <v>13</v>
      </c>
      <c r="F5" s="4" t="s">
        <v>25</v>
      </c>
      <c r="G5" s="10" t="s">
        <v>58</v>
      </c>
      <c r="H5" s="4" t="s">
        <v>60</v>
      </c>
      <c r="I5" s="4" t="s">
        <v>35</v>
      </c>
      <c r="J5" s="14" t="s">
        <v>28</v>
      </c>
      <c r="K5" s="4"/>
    </row>
    <row r="6">
      <c r="A6" s="4">
        <v>5.0</v>
      </c>
      <c r="B6" s="3" t="s">
        <v>12</v>
      </c>
      <c r="C6" s="3" t="s">
        <v>63</v>
      </c>
      <c r="D6" s="3" t="s">
        <v>64</v>
      </c>
      <c r="E6" s="15" t="s">
        <v>28</v>
      </c>
      <c r="F6" s="4" t="s">
        <v>25</v>
      </c>
      <c r="G6" s="10" t="s">
        <v>65</v>
      </c>
      <c r="H6" s="4" t="s">
        <v>60</v>
      </c>
      <c r="I6" s="4" t="s">
        <v>35</v>
      </c>
      <c r="J6" s="14" t="s">
        <v>28</v>
      </c>
      <c r="K6" s="4"/>
    </row>
    <row r="7">
      <c r="A7" s="4">
        <v>6.0</v>
      </c>
      <c r="B7" s="3" t="s">
        <v>12</v>
      </c>
      <c r="C7" s="3" t="s">
        <v>69</v>
      </c>
      <c r="D7" s="3" t="s">
        <v>70</v>
      </c>
      <c r="E7" s="16" t="s">
        <v>22</v>
      </c>
      <c r="F7" s="4" t="s">
        <v>25</v>
      </c>
      <c r="G7" s="10" t="s">
        <v>72</v>
      </c>
      <c r="H7" s="4" t="s">
        <v>34</v>
      </c>
      <c r="I7" s="4" t="s">
        <v>35</v>
      </c>
      <c r="J7" s="12" t="s">
        <v>37</v>
      </c>
      <c r="K7" s="4"/>
    </row>
    <row r="8">
      <c r="A8" s="4">
        <v>7.0</v>
      </c>
      <c r="B8" s="3" t="s">
        <v>12</v>
      </c>
      <c r="C8" s="3" t="s">
        <v>75</v>
      </c>
      <c r="D8" s="3" t="s">
        <v>76</v>
      </c>
      <c r="E8" s="7" t="s">
        <v>13</v>
      </c>
      <c r="F8" s="4" t="s">
        <v>25</v>
      </c>
      <c r="G8" s="10" t="s">
        <v>78</v>
      </c>
      <c r="H8" s="4" t="s">
        <v>60</v>
      </c>
      <c r="I8" s="4" t="s">
        <v>35</v>
      </c>
      <c r="J8" s="14" t="s">
        <v>28</v>
      </c>
      <c r="K8" s="4"/>
    </row>
    <row r="9">
      <c r="A9" s="4">
        <v>8.0</v>
      </c>
      <c r="B9" s="3" t="s">
        <v>12</v>
      </c>
      <c r="C9" s="3" t="s">
        <v>82</v>
      </c>
      <c r="D9" s="3" t="s">
        <v>83</v>
      </c>
      <c r="E9" s="15" t="s">
        <v>28</v>
      </c>
      <c r="F9" s="4" t="s">
        <v>25</v>
      </c>
      <c r="G9" s="10" t="s">
        <v>84</v>
      </c>
      <c r="H9" s="4" t="s">
        <v>60</v>
      </c>
      <c r="I9" s="4" t="s">
        <v>35</v>
      </c>
      <c r="J9" s="14" t="s">
        <v>28</v>
      </c>
      <c r="K9" s="4"/>
    </row>
    <row r="10">
      <c r="A10" s="4">
        <v>9.0</v>
      </c>
      <c r="B10" s="3" t="s">
        <v>12</v>
      </c>
      <c r="C10" s="3" t="s">
        <v>86</v>
      </c>
      <c r="D10" s="3" t="s">
        <v>87</v>
      </c>
      <c r="E10" s="7" t="s">
        <v>13</v>
      </c>
      <c r="F10" s="4" t="s">
        <v>25</v>
      </c>
      <c r="G10" s="10" t="s">
        <v>88</v>
      </c>
      <c r="H10" s="4" t="s">
        <v>60</v>
      </c>
      <c r="I10" s="4" t="s">
        <v>35</v>
      </c>
      <c r="J10" s="14" t="s">
        <v>28</v>
      </c>
      <c r="K10" s="4"/>
    </row>
    <row r="11">
      <c r="A11" s="4">
        <v>10.0</v>
      </c>
      <c r="B11" s="3" t="s">
        <v>12</v>
      </c>
      <c r="C11" s="3" t="s">
        <v>44</v>
      </c>
      <c r="D11" s="3" t="s">
        <v>89</v>
      </c>
      <c r="E11" s="15" t="s">
        <v>28</v>
      </c>
      <c r="F11" s="4" t="s">
        <v>25</v>
      </c>
      <c r="G11" s="10" t="s">
        <v>90</v>
      </c>
      <c r="H11" s="4" t="s">
        <v>60</v>
      </c>
      <c r="I11" s="4" t="s">
        <v>35</v>
      </c>
      <c r="J11" s="14" t="s">
        <v>28</v>
      </c>
      <c r="K11" s="4"/>
    </row>
    <row r="12">
      <c r="A12" s="4">
        <v>11.0</v>
      </c>
      <c r="B12" s="3" t="s">
        <v>12</v>
      </c>
      <c r="C12" s="3" t="s">
        <v>91</v>
      </c>
      <c r="D12" s="3" t="s">
        <v>92</v>
      </c>
      <c r="E12" s="7" t="s">
        <v>13</v>
      </c>
      <c r="F12" s="4" t="s">
        <v>25</v>
      </c>
      <c r="G12" s="10" t="s">
        <v>93</v>
      </c>
      <c r="H12" s="4" t="s">
        <v>34</v>
      </c>
      <c r="I12" s="4" t="s">
        <v>35</v>
      </c>
      <c r="J12" s="12" t="s">
        <v>37</v>
      </c>
      <c r="K12" s="4"/>
    </row>
    <row r="13">
      <c r="A13" s="4">
        <v>12.0</v>
      </c>
      <c r="B13" s="3" t="s">
        <v>23</v>
      </c>
      <c r="C13" s="3" t="s">
        <v>94</v>
      </c>
      <c r="D13" s="3" t="s">
        <v>95</v>
      </c>
      <c r="E13" s="7" t="s">
        <v>13</v>
      </c>
      <c r="F13" s="4" t="s">
        <v>96</v>
      </c>
      <c r="G13" s="10" t="s">
        <v>97</v>
      </c>
      <c r="H13" s="4" t="s">
        <v>34</v>
      </c>
      <c r="I13" s="4" t="s">
        <v>35</v>
      </c>
      <c r="J13" s="12" t="s">
        <v>37</v>
      </c>
      <c r="K13" s="4"/>
    </row>
    <row r="14">
      <c r="A14" s="4">
        <v>13.0</v>
      </c>
      <c r="B14" s="3" t="s">
        <v>30</v>
      </c>
      <c r="C14" s="3" t="s">
        <v>98</v>
      </c>
      <c r="D14" s="3" t="s">
        <v>99</v>
      </c>
      <c r="E14" s="7" t="s">
        <v>13</v>
      </c>
      <c r="F14" s="4" t="s">
        <v>25</v>
      </c>
      <c r="G14" s="10" t="s">
        <v>100</v>
      </c>
      <c r="H14" s="4" t="s">
        <v>34</v>
      </c>
      <c r="I14" s="4" t="s">
        <v>35</v>
      </c>
      <c r="J14" s="12" t="s">
        <v>37</v>
      </c>
      <c r="K14" s="4"/>
    </row>
    <row r="15">
      <c r="A15" s="4">
        <v>14.0</v>
      </c>
      <c r="B15" s="3" t="s">
        <v>30</v>
      </c>
      <c r="C15" s="3" t="s">
        <v>101</v>
      </c>
      <c r="D15" s="3" t="s">
        <v>102</v>
      </c>
      <c r="E15" s="7" t="s">
        <v>13</v>
      </c>
      <c r="F15" s="4" t="s">
        <v>25</v>
      </c>
      <c r="G15" s="10" t="s">
        <v>103</v>
      </c>
      <c r="H15" s="4" t="s">
        <v>34</v>
      </c>
      <c r="I15" s="4" t="s">
        <v>35</v>
      </c>
      <c r="J15" s="12" t="s">
        <v>37</v>
      </c>
      <c r="K15" s="4"/>
    </row>
    <row r="16">
      <c r="A16" s="4">
        <v>15.0</v>
      </c>
      <c r="B16" s="3" t="s">
        <v>30</v>
      </c>
      <c r="C16" s="3" t="s">
        <v>104</v>
      </c>
      <c r="D16" s="3" t="s">
        <v>105</v>
      </c>
      <c r="E16" s="15" t="s">
        <v>28</v>
      </c>
      <c r="F16" s="4" t="s">
        <v>25</v>
      </c>
      <c r="G16" s="10" t="s">
        <v>106</v>
      </c>
      <c r="H16" s="4" t="s">
        <v>60</v>
      </c>
      <c r="I16" s="4" t="s">
        <v>35</v>
      </c>
      <c r="J16" s="14" t="s">
        <v>28</v>
      </c>
      <c r="K16" s="4"/>
    </row>
    <row r="17">
      <c r="A17" s="4">
        <v>16.0</v>
      </c>
      <c r="B17" s="3" t="s">
        <v>30</v>
      </c>
      <c r="C17" s="3" t="s">
        <v>53</v>
      </c>
      <c r="D17" s="3" t="s">
        <v>107</v>
      </c>
      <c r="E17" s="15" t="s">
        <v>28</v>
      </c>
      <c r="F17" s="4" t="s">
        <v>25</v>
      </c>
      <c r="G17" s="10" t="s">
        <v>108</v>
      </c>
      <c r="H17" s="4" t="s">
        <v>34</v>
      </c>
      <c r="I17" s="4" t="s">
        <v>35</v>
      </c>
      <c r="J17" s="12" t="s">
        <v>37</v>
      </c>
      <c r="K17" s="4"/>
    </row>
    <row r="18">
      <c r="A18" s="4">
        <v>17.0</v>
      </c>
      <c r="B18" s="3" t="s">
        <v>30</v>
      </c>
      <c r="C18" s="3" t="s">
        <v>109</v>
      </c>
      <c r="D18" s="3" t="s">
        <v>110</v>
      </c>
      <c r="E18" s="15" t="s">
        <v>28</v>
      </c>
      <c r="F18" s="4" t="s">
        <v>25</v>
      </c>
      <c r="G18" s="10" t="s">
        <v>111</v>
      </c>
      <c r="H18" s="4" t="s">
        <v>60</v>
      </c>
      <c r="I18" s="4" t="s">
        <v>35</v>
      </c>
      <c r="J18" s="14" t="s">
        <v>28</v>
      </c>
      <c r="K18" s="4"/>
    </row>
    <row r="19">
      <c r="A19" s="4">
        <v>18.0</v>
      </c>
      <c r="B19" s="3" t="s">
        <v>30</v>
      </c>
      <c r="C19" s="3" t="s">
        <v>112</v>
      </c>
      <c r="D19" s="3" t="s">
        <v>113</v>
      </c>
      <c r="E19" s="7" t="s">
        <v>13</v>
      </c>
      <c r="F19" s="4" t="s">
        <v>25</v>
      </c>
      <c r="G19" s="10" t="s">
        <v>114</v>
      </c>
      <c r="H19" s="4" t="s">
        <v>60</v>
      </c>
      <c r="I19" s="4" t="s">
        <v>35</v>
      </c>
      <c r="J19" s="14" t="s">
        <v>28</v>
      </c>
      <c r="K19" s="4"/>
    </row>
    <row r="20">
      <c r="A20" s="4">
        <v>19.0</v>
      </c>
      <c r="B20" s="3" t="s">
        <v>31</v>
      </c>
      <c r="C20" s="3" t="s">
        <v>115</v>
      </c>
      <c r="D20" s="3" t="s">
        <v>116</v>
      </c>
      <c r="E20" s="7" t="s">
        <v>13</v>
      </c>
      <c r="F20" s="4" t="s">
        <v>96</v>
      </c>
      <c r="G20" s="10" t="s">
        <v>117</v>
      </c>
      <c r="H20" s="4" t="s">
        <v>34</v>
      </c>
      <c r="I20" s="4" t="s">
        <v>35</v>
      </c>
      <c r="J20" s="12" t="s">
        <v>37</v>
      </c>
      <c r="K20" s="4"/>
    </row>
    <row r="21" ht="15.75" customHeight="1">
      <c r="A21" s="4">
        <v>20.0</v>
      </c>
      <c r="B21" s="3" t="s">
        <v>30</v>
      </c>
      <c r="C21" s="3" t="s">
        <v>118</v>
      </c>
      <c r="D21" s="3" t="s">
        <v>119</v>
      </c>
      <c r="E21" s="15" t="s">
        <v>28</v>
      </c>
      <c r="F21" s="4" t="s">
        <v>25</v>
      </c>
      <c r="G21" s="10" t="s">
        <v>120</v>
      </c>
      <c r="H21" s="4" t="s">
        <v>60</v>
      </c>
      <c r="I21" s="4" t="s">
        <v>35</v>
      </c>
      <c r="J21" s="14" t="s">
        <v>28</v>
      </c>
      <c r="K21" s="4"/>
    </row>
    <row r="22" ht="15.75" customHeight="1">
      <c r="A22" s="4">
        <v>21.0</v>
      </c>
      <c r="B22" s="3" t="s">
        <v>30</v>
      </c>
      <c r="C22" s="3" t="s">
        <v>121</v>
      </c>
      <c r="D22" s="3" t="s">
        <v>122</v>
      </c>
      <c r="E22" s="7" t="s">
        <v>13</v>
      </c>
      <c r="F22" s="4" t="s">
        <v>25</v>
      </c>
      <c r="G22" s="10" t="s">
        <v>123</v>
      </c>
      <c r="H22" s="4" t="s">
        <v>60</v>
      </c>
      <c r="I22" s="4" t="s">
        <v>35</v>
      </c>
      <c r="J22" s="14" t="s">
        <v>28</v>
      </c>
      <c r="K22" s="4"/>
    </row>
    <row r="23" ht="15.75" customHeight="1">
      <c r="A23" s="4">
        <v>22.0</v>
      </c>
      <c r="B23" s="3" t="s">
        <v>30</v>
      </c>
      <c r="C23" s="3" t="s">
        <v>21</v>
      </c>
      <c r="D23" s="3" t="s">
        <v>124</v>
      </c>
      <c r="E23" s="7" t="s">
        <v>13</v>
      </c>
      <c r="F23" s="4" t="s">
        <v>25</v>
      </c>
      <c r="G23" s="10" t="s">
        <v>125</v>
      </c>
      <c r="H23" s="4" t="s">
        <v>60</v>
      </c>
      <c r="I23" s="4" t="s">
        <v>35</v>
      </c>
      <c r="J23" s="14" t="s">
        <v>28</v>
      </c>
      <c r="K23" s="4"/>
    </row>
    <row r="24" ht="15.75" customHeight="1">
      <c r="A24" s="4">
        <v>23.0</v>
      </c>
      <c r="B24" s="3" t="s">
        <v>36</v>
      </c>
      <c r="C24" s="3" t="s">
        <v>126</v>
      </c>
      <c r="D24" s="3" t="s">
        <v>127</v>
      </c>
      <c r="E24" s="15" t="s">
        <v>28</v>
      </c>
      <c r="F24" s="4" t="s">
        <v>25</v>
      </c>
      <c r="G24" s="10" t="s">
        <v>128</v>
      </c>
      <c r="H24" s="4" t="s">
        <v>60</v>
      </c>
      <c r="I24" s="4" t="s">
        <v>35</v>
      </c>
      <c r="J24" s="14" t="s">
        <v>28</v>
      </c>
      <c r="K24" s="4"/>
    </row>
    <row r="25" ht="15.75" customHeight="1">
      <c r="A25" s="4">
        <v>24.0</v>
      </c>
      <c r="B25" s="3" t="s">
        <v>39</v>
      </c>
      <c r="C25" s="3" t="s">
        <v>129</v>
      </c>
      <c r="D25" s="3" t="s">
        <v>130</v>
      </c>
      <c r="E25" s="15" t="s">
        <v>28</v>
      </c>
      <c r="F25" s="4" t="s">
        <v>25</v>
      </c>
      <c r="G25" s="10" t="s">
        <v>131</v>
      </c>
      <c r="H25" s="4" t="s">
        <v>60</v>
      </c>
      <c r="I25" s="4" t="s">
        <v>35</v>
      </c>
      <c r="J25" s="14" t="s">
        <v>28</v>
      </c>
      <c r="K25" s="4"/>
    </row>
    <row r="26" ht="15.75" customHeight="1">
      <c r="A26" s="4">
        <v>25.0</v>
      </c>
      <c r="B26" s="3" t="s">
        <v>39</v>
      </c>
      <c r="C26" s="3" t="s">
        <v>132</v>
      </c>
      <c r="D26" s="3" t="s">
        <v>133</v>
      </c>
      <c r="E26" s="7" t="s">
        <v>13</v>
      </c>
      <c r="F26" s="4" t="s">
        <v>25</v>
      </c>
      <c r="G26" s="10" t="s">
        <v>134</v>
      </c>
      <c r="H26" s="4" t="s">
        <v>60</v>
      </c>
      <c r="I26" s="4" t="s">
        <v>35</v>
      </c>
      <c r="J26" s="14" t="s">
        <v>28</v>
      </c>
      <c r="K26" s="4"/>
    </row>
    <row r="27" ht="15.75" customHeight="1">
      <c r="A27" s="4">
        <v>26.0</v>
      </c>
      <c r="B27" s="3" t="s">
        <v>39</v>
      </c>
      <c r="C27" s="3" t="s">
        <v>135</v>
      </c>
      <c r="D27" s="3" t="s">
        <v>136</v>
      </c>
      <c r="E27" s="15" t="s">
        <v>28</v>
      </c>
      <c r="F27" s="4" t="s">
        <v>25</v>
      </c>
      <c r="G27" s="10" t="s">
        <v>137</v>
      </c>
      <c r="H27" s="4" t="s">
        <v>34</v>
      </c>
      <c r="I27" s="4" t="s">
        <v>35</v>
      </c>
      <c r="J27" s="12" t="s">
        <v>37</v>
      </c>
      <c r="K27" s="4"/>
    </row>
    <row r="28" ht="15.75" customHeight="1">
      <c r="A28" s="4">
        <v>27.0</v>
      </c>
      <c r="B28" s="3" t="s">
        <v>39</v>
      </c>
      <c r="C28" s="3" t="s">
        <v>138</v>
      </c>
      <c r="D28" s="3" t="s">
        <v>139</v>
      </c>
      <c r="E28" s="15" t="s">
        <v>28</v>
      </c>
      <c r="F28" s="4" t="s">
        <v>25</v>
      </c>
      <c r="G28" s="10" t="s">
        <v>140</v>
      </c>
      <c r="H28" s="4" t="s">
        <v>60</v>
      </c>
      <c r="I28" s="4" t="s">
        <v>35</v>
      </c>
      <c r="J28" s="14" t="s">
        <v>28</v>
      </c>
      <c r="K28" s="4"/>
    </row>
    <row r="29" ht="15.75" customHeight="1">
      <c r="A29" s="4">
        <v>28.0</v>
      </c>
      <c r="B29" s="3" t="s">
        <v>42</v>
      </c>
      <c r="C29" s="3" t="s">
        <v>141</v>
      </c>
      <c r="D29" s="3" t="s">
        <v>142</v>
      </c>
      <c r="E29" s="15" t="s">
        <v>28</v>
      </c>
      <c r="F29" s="4" t="s">
        <v>25</v>
      </c>
      <c r="G29" s="10" t="s">
        <v>143</v>
      </c>
      <c r="H29" s="4" t="s">
        <v>34</v>
      </c>
      <c r="I29" s="4" t="s">
        <v>35</v>
      </c>
      <c r="J29" s="12" t="s">
        <v>37</v>
      </c>
      <c r="K29" s="4"/>
    </row>
    <row r="30" ht="15.75" customHeight="1">
      <c r="A30" s="4">
        <v>29.0</v>
      </c>
      <c r="B30" s="3" t="s">
        <v>44</v>
      </c>
      <c r="C30" s="3" t="s">
        <v>144</v>
      </c>
      <c r="D30" s="3" t="s">
        <v>145</v>
      </c>
      <c r="E30" s="16" t="s">
        <v>22</v>
      </c>
      <c r="F30" s="4" t="s">
        <v>25</v>
      </c>
      <c r="G30" s="10" t="s">
        <v>146</v>
      </c>
      <c r="H30" s="4" t="s">
        <v>60</v>
      </c>
      <c r="I30" s="4" t="s">
        <v>35</v>
      </c>
      <c r="J30" s="14" t="s">
        <v>28</v>
      </c>
      <c r="K30" s="4"/>
    </row>
    <row r="31" ht="15.75" customHeight="1">
      <c r="A31" s="4">
        <v>30.0</v>
      </c>
      <c r="B31" s="3" t="s">
        <v>44</v>
      </c>
      <c r="C31" s="3" t="s">
        <v>147</v>
      </c>
      <c r="D31" s="3" t="s">
        <v>148</v>
      </c>
      <c r="E31" s="15" t="s">
        <v>28</v>
      </c>
      <c r="F31" s="4" t="s">
        <v>25</v>
      </c>
      <c r="G31" s="10" t="s">
        <v>149</v>
      </c>
      <c r="H31" s="4" t="s">
        <v>60</v>
      </c>
      <c r="I31" s="4" t="s">
        <v>35</v>
      </c>
      <c r="J31" s="14" t="s">
        <v>28</v>
      </c>
      <c r="K31" s="4"/>
    </row>
    <row r="32" ht="15.75" customHeight="1">
      <c r="A32" s="4">
        <v>31.0</v>
      </c>
      <c r="B32" s="3" t="s">
        <v>42</v>
      </c>
      <c r="C32" s="3" t="s">
        <v>150</v>
      </c>
      <c r="D32" s="3" t="s">
        <v>151</v>
      </c>
      <c r="E32" s="7" t="s">
        <v>13</v>
      </c>
      <c r="F32" s="4" t="s">
        <v>25</v>
      </c>
      <c r="G32" s="10" t="s">
        <v>152</v>
      </c>
      <c r="H32" s="4" t="s">
        <v>60</v>
      </c>
      <c r="I32" s="4" t="s">
        <v>35</v>
      </c>
      <c r="J32" s="14" t="s">
        <v>28</v>
      </c>
      <c r="K32" s="4"/>
    </row>
    <row r="33" ht="15.75" customHeight="1">
      <c r="A33" s="4">
        <v>32.0</v>
      </c>
      <c r="B33" s="3" t="s">
        <v>48</v>
      </c>
      <c r="C33" s="3" t="s">
        <v>21</v>
      </c>
      <c r="D33" s="3" t="s">
        <v>48</v>
      </c>
      <c r="E33" s="7" t="s">
        <v>13</v>
      </c>
      <c r="F33" s="4" t="s">
        <v>25</v>
      </c>
      <c r="G33" s="10" t="s">
        <v>153</v>
      </c>
      <c r="H33" s="4" t="s">
        <v>34</v>
      </c>
      <c r="I33" s="4" t="s">
        <v>35</v>
      </c>
      <c r="J33" s="12" t="s">
        <v>37</v>
      </c>
      <c r="K33" s="4"/>
    </row>
    <row r="34" ht="15.75" customHeight="1">
      <c r="A34" s="4">
        <v>33.0</v>
      </c>
      <c r="B34" s="3" t="s">
        <v>48</v>
      </c>
      <c r="C34" s="3" t="s">
        <v>154</v>
      </c>
      <c r="D34" s="3" t="s">
        <v>155</v>
      </c>
      <c r="E34" s="7" t="s">
        <v>13</v>
      </c>
      <c r="F34" s="4" t="s">
        <v>25</v>
      </c>
      <c r="G34" s="10" t="s">
        <v>156</v>
      </c>
      <c r="H34" s="4" t="s">
        <v>34</v>
      </c>
      <c r="I34" s="4" t="s">
        <v>35</v>
      </c>
      <c r="J34" s="12" t="s">
        <v>37</v>
      </c>
      <c r="K34" s="4"/>
    </row>
    <row r="35" ht="15.75" customHeight="1">
      <c r="A35" s="4">
        <v>34.0</v>
      </c>
      <c r="B35" s="3" t="s">
        <v>48</v>
      </c>
      <c r="C35" s="3" t="s">
        <v>157</v>
      </c>
      <c r="D35" s="3" t="s">
        <v>158</v>
      </c>
      <c r="E35" s="7" t="s">
        <v>13</v>
      </c>
      <c r="F35" s="4" t="s">
        <v>25</v>
      </c>
      <c r="G35" s="10" t="s">
        <v>159</v>
      </c>
      <c r="H35" s="4" t="s">
        <v>60</v>
      </c>
      <c r="I35" s="4" t="s">
        <v>35</v>
      </c>
      <c r="J35" s="14" t="s">
        <v>28</v>
      </c>
      <c r="K35" s="4"/>
    </row>
    <row r="36" ht="15.75" customHeight="1">
      <c r="A36" s="4">
        <v>35.0</v>
      </c>
      <c r="B36" s="3" t="s">
        <v>48</v>
      </c>
      <c r="C36" s="3" t="s">
        <v>160</v>
      </c>
      <c r="D36" s="3" t="s">
        <v>161</v>
      </c>
      <c r="E36" s="15" t="s">
        <v>28</v>
      </c>
      <c r="F36" s="4" t="s">
        <v>25</v>
      </c>
      <c r="G36" s="10" t="s">
        <v>162</v>
      </c>
      <c r="H36" s="4" t="s">
        <v>60</v>
      </c>
      <c r="I36" s="4" t="s">
        <v>35</v>
      </c>
      <c r="J36" s="14" t="s">
        <v>28</v>
      </c>
      <c r="K36" s="4"/>
    </row>
    <row r="37" ht="15.75" customHeight="1">
      <c r="A37" s="4">
        <v>36.0</v>
      </c>
      <c r="B37" s="3" t="s">
        <v>48</v>
      </c>
      <c r="C37" s="3" t="s">
        <v>163</v>
      </c>
      <c r="D37" s="3" t="s">
        <v>164</v>
      </c>
      <c r="E37" s="15" t="s">
        <v>28</v>
      </c>
      <c r="F37" s="4" t="s">
        <v>25</v>
      </c>
      <c r="G37" s="10" t="s">
        <v>165</v>
      </c>
      <c r="H37" s="4" t="s">
        <v>60</v>
      </c>
      <c r="I37" s="4" t="s">
        <v>35</v>
      </c>
      <c r="J37" s="14" t="s">
        <v>28</v>
      </c>
      <c r="K37" s="4"/>
    </row>
    <row r="38" ht="15.75" customHeight="1">
      <c r="A38" s="4">
        <v>37.0</v>
      </c>
      <c r="B38" s="3" t="s">
        <v>48</v>
      </c>
      <c r="C38" s="3" t="s">
        <v>166</v>
      </c>
      <c r="D38" s="3" t="s">
        <v>167</v>
      </c>
      <c r="E38" s="7" t="s">
        <v>13</v>
      </c>
      <c r="F38" s="4" t="s">
        <v>25</v>
      </c>
      <c r="G38" s="10" t="s">
        <v>168</v>
      </c>
      <c r="H38" s="4" t="s">
        <v>60</v>
      </c>
      <c r="I38" s="4" t="s">
        <v>35</v>
      </c>
      <c r="J38" s="17" t="s">
        <v>169</v>
      </c>
      <c r="K38" s="4"/>
    </row>
    <row r="39" ht="15.75" customHeight="1">
      <c r="A39" s="4">
        <v>38.0</v>
      </c>
      <c r="B39" s="3" t="s">
        <v>51</v>
      </c>
      <c r="C39" s="3" t="s">
        <v>170</v>
      </c>
      <c r="D39" s="3" t="s">
        <v>171</v>
      </c>
      <c r="E39" s="15" t="s">
        <v>28</v>
      </c>
      <c r="F39" s="4" t="s">
        <v>25</v>
      </c>
      <c r="G39" s="10" t="s">
        <v>172</v>
      </c>
      <c r="H39" s="4" t="s">
        <v>60</v>
      </c>
      <c r="I39" s="4" t="s">
        <v>35</v>
      </c>
      <c r="J39" s="14" t="s">
        <v>28</v>
      </c>
      <c r="K39" s="4"/>
    </row>
    <row r="40" ht="15.75" customHeight="1">
      <c r="A40" s="4">
        <v>39.0</v>
      </c>
      <c r="B40" s="3" t="s">
        <v>51</v>
      </c>
      <c r="C40" s="3" t="s">
        <v>173</v>
      </c>
      <c r="D40" s="3" t="s">
        <v>174</v>
      </c>
      <c r="E40" s="15" t="s">
        <v>28</v>
      </c>
      <c r="F40" s="4" t="s">
        <v>25</v>
      </c>
      <c r="G40" s="10" t="s">
        <v>175</v>
      </c>
      <c r="H40" s="4" t="s">
        <v>60</v>
      </c>
      <c r="I40" s="4" t="s">
        <v>35</v>
      </c>
      <c r="J40" s="14" t="s">
        <v>28</v>
      </c>
      <c r="K40" s="4"/>
    </row>
    <row r="41" ht="15.75" customHeight="1">
      <c r="A41" s="4">
        <v>40.0</v>
      </c>
      <c r="B41" s="3" t="s">
        <v>51</v>
      </c>
      <c r="C41" s="3" t="s">
        <v>176</v>
      </c>
      <c r="D41" s="3" t="s">
        <v>177</v>
      </c>
      <c r="E41" s="7" t="s">
        <v>13</v>
      </c>
      <c r="F41" s="4" t="s">
        <v>25</v>
      </c>
      <c r="G41" s="10" t="s">
        <v>178</v>
      </c>
      <c r="H41" s="4" t="s">
        <v>34</v>
      </c>
      <c r="I41" s="4" t="s">
        <v>35</v>
      </c>
      <c r="J41" s="12" t="s">
        <v>37</v>
      </c>
      <c r="K41" s="4"/>
    </row>
    <row r="42" ht="15.75" customHeight="1">
      <c r="A42" s="4">
        <v>41.0</v>
      </c>
      <c r="B42" s="3" t="s">
        <v>31</v>
      </c>
      <c r="C42" s="3" t="s">
        <v>179</v>
      </c>
      <c r="D42" s="3" t="s">
        <v>180</v>
      </c>
      <c r="E42" s="7" t="s">
        <v>13</v>
      </c>
      <c r="F42" s="4" t="s">
        <v>96</v>
      </c>
      <c r="G42" s="10" t="s">
        <v>181</v>
      </c>
      <c r="H42" s="4" t="s">
        <v>34</v>
      </c>
      <c r="I42" s="4" t="s">
        <v>35</v>
      </c>
      <c r="J42" s="12" t="s">
        <v>37</v>
      </c>
      <c r="K42" s="4"/>
    </row>
    <row r="43" ht="15.75" customHeight="1">
      <c r="A43" s="4">
        <v>42.0</v>
      </c>
      <c r="B43" s="3" t="s">
        <v>53</v>
      </c>
      <c r="C43" s="3" t="s">
        <v>182</v>
      </c>
      <c r="D43" s="3" t="s">
        <v>183</v>
      </c>
      <c r="E43" s="7" t="s">
        <v>13</v>
      </c>
      <c r="F43" s="4" t="s">
        <v>25</v>
      </c>
      <c r="G43" s="10" t="s">
        <v>184</v>
      </c>
      <c r="H43" s="4" t="s">
        <v>60</v>
      </c>
      <c r="I43" s="4" t="s">
        <v>35</v>
      </c>
      <c r="J43" s="14" t="s">
        <v>28</v>
      </c>
      <c r="K43" s="4"/>
    </row>
    <row r="44" ht="15.75" customHeight="1">
      <c r="A44" s="4">
        <v>43.0</v>
      </c>
      <c r="B44" s="3" t="s">
        <v>53</v>
      </c>
      <c r="C44" s="3" t="s">
        <v>185</v>
      </c>
      <c r="D44" s="3" t="s">
        <v>186</v>
      </c>
      <c r="E44" s="15" t="s">
        <v>28</v>
      </c>
      <c r="F44" s="4" t="s">
        <v>25</v>
      </c>
      <c r="G44" s="10" t="s">
        <v>187</v>
      </c>
      <c r="H44" s="4" t="s">
        <v>34</v>
      </c>
      <c r="I44" s="4" t="s">
        <v>35</v>
      </c>
      <c r="J44" s="12" t="s">
        <v>37</v>
      </c>
      <c r="K44" s="4"/>
    </row>
    <row r="45" ht="15.75" customHeight="1">
      <c r="A45" s="4">
        <v>44.0</v>
      </c>
      <c r="B45" s="3" t="s">
        <v>53</v>
      </c>
      <c r="C45" s="3" t="s">
        <v>188</v>
      </c>
      <c r="D45" s="3" t="s">
        <v>189</v>
      </c>
      <c r="E45" s="15" t="s">
        <v>28</v>
      </c>
      <c r="F45" s="4" t="s">
        <v>25</v>
      </c>
      <c r="G45" s="10" t="s">
        <v>190</v>
      </c>
      <c r="H45" s="4" t="s">
        <v>60</v>
      </c>
      <c r="I45" s="4" t="s">
        <v>35</v>
      </c>
      <c r="J45" s="14" t="s">
        <v>28</v>
      </c>
      <c r="K45" s="4"/>
    </row>
    <row r="46" ht="15.75" customHeight="1">
      <c r="A46" s="4">
        <v>45.0</v>
      </c>
      <c r="B46" s="3" t="s">
        <v>54</v>
      </c>
      <c r="C46" s="3" t="s">
        <v>191</v>
      </c>
      <c r="D46" s="3" t="s">
        <v>192</v>
      </c>
      <c r="E46" s="7" t="s">
        <v>13</v>
      </c>
      <c r="F46" s="4" t="s">
        <v>25</v>
      </c>
      <c r="G46" s="10" t="s">
        <v>193</v>
      </c>
      <c r="H46" s="4" t="s">
        <v>60</v>
      </c>
      <c r="I46" s="4" t="s">
        <v>35</v>
      </c>
      <c r="J46" s="14" t="s">
        <v>28</v>
      </c>
      <c r="K46" s="4"/>
    </row>
    <row r="47" ht="15.75" customHeight="1">
      <c r="A47" s="4">
        <v>46.0</v>
      </c>
      <c r="B47" s="3" t="s">
        <v>54</v>
      </c>
      <c r="C47" s="3" t="s">
        <v>194</v>
      </c>
      <c r="D47" s="3" t="s">
        <v>195</v>
      </c>
      <c r="E47" s="7" t="s">
        <v>13</v>
      </c>
      <c r="F47" s="4" t="s">
        <v>25</v>
      </c>
      <c r="G47" s="10" t="s">
        <v>196</v>
      </c>
      <c r="H47" s="4" t="s">
        <v>60</v>
      </c>
      <c r="I47" s="4" t="s">
        <v>35</v>
      </c>
      <c r="J47" s="14" t="s">
        <v>28</v>
      </c>
      <c r="K47" s="4"/>
    </row>
    <row r="48" ht="15.75" customHeight="1">
      <c r="A48" s="4">
        <v>47.0</v>
      </c>
      <c r="B48" s="3" t="s">
        <v>55</v>
      </c>
      <c r="C48" s="3" t="s">
        <v>197</v>
      </c>
      <c r="D48" s="3" t="s">
        <v>198</v>
      </c>
      <c r="E48" s="15" t="s">
        <v>28</v>
      </c>
      <c r="F48" s="4" t="s">
        <v>25</v>
      </c>
      <c r="G48" s="10" t="s">
        <v>199</v>
      </c>
      <c r="H48" s="4" t="s">
        <v>34</v>
      </c>
      <c r="I48" s="4" t="s">
        <v>35</v>
      </c>
      <c r="J48" s="12" t="s">
        <v>37</v>
      </c>
      <c r="K48" s="4"/>
    </row>
    <row r="49" ht="15.75" customHeight="1">
      <c r="A49" s="4">
        <v>48.0</v>
      </c>
      <c r="B49" s="3" t="s">
        <v>55</v>
      </c>
      <c r="C49" s="3" t="s">
        <v>63</v>
      </c>
      <c r="D49" s="3" t="s">
        <v>200</v>
      </c>
      <c r="E49" s="15" t="s">
        <v>28</v>
      </c>
      <c r="F49" s="4" t="s">
        <v>25</v>
      </c>
      <c r="G49" s="10" t="s">
        <v>201</v>
      </c>
      <c r="H49" s="4" t="s">
        <v>60</v>
      </c>
      <c r="I49" s="4" t="s">
        <v>35</v>
      </c>
      <c r="J49" s="14" t="s">
        <v>28</v>
      </c>
      <c r="K49" s="4"/>
    </row>
    <row r="50" ht="15.75" customHeight="1">
      <c r="A50" s="4">
        <v>49.0</v>
      </c>
      <c r="B50" s="3" t="s">
        <v>55</v>
      </c>
      <c r="C50" s="3" t="s">
        <v>202</v>
      </c>
      <c r="D50" s="3" t="s">
        <v>203</v>
      </c>
      <c r="E50" s="15" t="s">
        <v>28</v>
      </c>
      <c r="F50" s="4" t="s">
        <v>25</v>
      </c>
      <c r="G50" s="10" t="s">
        <v>204</v>
      </c>
      <c r="H50" s="4" t="s">
        <v>60</v>
      </c>
      <c r="I50" s="4" t="s">
        <v>35</v>
      </c>
      <c r="J50" s="14" t="s">
        <v>28</v>
      </c>
      <c r="K50" s="4"/>
    </row>
    <row r="51" ht="15.75" customHeight="1">
      <c r="A51" s="4">
        <v>50.0</v>
      </c>
      <c r="B51" s="3" t="s">
        <v>55</v>
      </c>
      <c r="C51" s="3" t="s">
        <v>205</v>
      </c>
      <c r="D51" s="3" t="s">
        <v>206</v>
      </c>
      <c r="E51" s="15" t="s">
        <v>28</v>
      </c>
      <c r="F51" s="4" t="s">
        <v>25</v>
      </c>
      <c r="G51" s="10" t="s">
        <v>207</v>
      </c>
      <c r="H51" s="4" t="s">
        <v>60</v>
      </c>
      <c r="I51" s="4" t="s">
        <v>35</v>
      </c>
      <c r="J51" s="14" t="s">
        <v>28</v>
      </c>
      <c r="K51" s="4"/>
    </row>
    <row r="52" ht="15.75" customHeight="1">
      <c r="A52" s="4">
        <v>51.0</v>
      </c>
      <c r="B52" s="3" t="s">
        <v>57</v>
      </c>
      <c r="C52" s="3" t="s">
        <v>21</v>
      </c>
      <c r="D52" s="3" t="s">
        <v>208</v>
      </c>
      <c r="E52" s="7" t="s">
        <v>13</v>
      </c>
      <c r="F52" s="4" t="s">
        <v>25</v>
      </c>
      <c r="G52" s="10" t="s">
        <v>209</v>
      </c>
      <c r="H52" s="4" t="s">
        <v>34</v>
      </c>
      <c r="I52" s="4" t="s">
        <v>35</v>
      </c>
      <c r="J52" s="12" t="s">
        <v>37</v>
      </c>
      <c r="K52" s="4"/>
    </row>
    <row r="53" ht="15.75" customHeight="1">
      <c r="A53" s="4">
        <v>52.0</v>
      </c>
      <c r="B53" s="3" t="s">
        <v>57</v>
      </c>
      <c r="C53" s="3" t="s">
        <v>210</v>
      </c>
      <c r="D53" s="3" t="s">
        <v>211</v>
      </c>
      <c r="E53" s="15" t="s">
        <v>28</v>
      </c>
      <c r="F53" s="4" t="s">
        <v>25</v>
      </c>
      <c r="G53" s="10" t="s">
        <v>212</v>
      </c>
      <c r="H53" s="4" t="s">
        <v>60</v>
      </c>
      <c r="I53" s="4" t="s">
        <v>35</v>
      </c>
      <c r="J53" s="17" t="s">
        <v>169</v>
      </c>
      <c r="K53" s="4"/>
    </row>
    <row r="54" ht="15.75" customHeight="1">
      <c r="A54" s="4">
        <v>53.0</v>
      </c>
      <c r="B54" s="3" t="s">
        <v>23</v>
      </c>
      <c r="C54" s="3" t="s">
        <v>213</v>
      </c>
      <c r="D54" s="3" t="s">
        <v>214</v>
      </c>
      <c r="E54" s="7" t="s">
        <v>13</v>
      </c>
      <c r="F54" s="4" t="s">
        <v>25</v>
      </c>
      <c r="G54" s="10" t="s">
        <v>215</v>
      </c>
      <c r="H54" s="4" t="s">
        <v>60</v>
      </c>
      <c r="I54" s="4" t="s">
        <v>35</v>
      </c>
      <c r="J54" s="14" t="s">
        <v>28</v>
      </c>
      <c r="K54" s="4"/>
    </row>
    <row r="55" ht="15.75" customHeight="1">
      <c r="A55" s="4">
        <v>54.0</v>
      </c>
      <c r="B55" s="3" t="s">
        <v>59</v>
      </c>
      <c r="C55" s="3" t="s">
        <v>216</v>
      </c>
      <c r="D55" s="3" t="s">
        <v>216</v>
      </c>
      <c r="E55" s="15" t="s">
        <v>28</v>
      </c>
      <c r="F55" s="4" t="s">
        <v>25</v>
      </c>
      <c r="G55" s="10" t="s">
        <v>217</v>
      </c>
      <c r="H55" s="4" t="s">
        <v>60</v>
      </c>
      <c r="I55" s="4" t="s">
        <v>35</v>
      </c>
      <c r="J55" s="14" t="s">
        <v>28</v>
      </c>
      <c r="K55" s="4"/>
    </row>
    <row r="56" ht="15.75" customHeight="1">
      <c r="A56" s="4">
        <v>55.0</v>
      </c>
      <c r="B56" s="3" t="s">
        <v>59</v>
      </c>
      <c r="C56" s="3" t="s">
        <v>218</v>
      </c>
      <c r="D56" s="3" t="s">
        <v>218</v>
      </c>
      <c r="E56" s="15" t="s">
        <v>28</v>
      </c>
      <c r="F56" s="4" t="s">
        <v>25</v>
      </c>
      <c r="G56" s="10" t="s">
        <v>219</v>
      </c>
      <c r="H56" s="4" t="s">
        <v>60</v>
      </c>
      <c r="I56" s="4" t="s">
        <v>35</v>
      </c>
      <c r="J56" s="14" t="s">
        <v>28</v>
      </c>
      <c r="K56" s="4"/>
    </row>
    <row r="57" ht="15.75" customHeight="1">
      <c r="A57" s="4">
        <v>56.0</v>
      </c>
      <c r="B57" s="3" t="s">
        <v>59</v>
      </c>
      <c r="C57" s="3" t="s">
        <v>220</v>
      </c>
      <c r="D57" s="3" t="s">
        <v>221</v>
      </c>
      <c r="E57" s="15" t="s">
        <v>28</v>
      </c>
      <c r="F57" s="4" t="s">
        <v>25</v>
      </c>
      <c r="G57" s="10" t="s">
        <v>222</v>
      </c>
      <c r="H57" s="4" t="s">
        <v>60</v>
      </c>
      <c r="I57" s="4" t="s">
        <v>35</v>
      </c>
      <c r="J57" s="14" t="s">
        <v>28</v>
      </c>
      <c r="K57" s="4"/>
    </row>
    <row r="58" ht="15.75" customHeight="1">
      <c r="A58" s="4">
        <v>57.0</v>
      </c>
      <c r="B58" s="3" t="s">
        <v>61</v>
      </c>
      <c r="C58" s="3" t="s">
        <v>223</v>
      </c>
      <c r="D58" s="3" t="s">
        <v>224</v>
      </c>
      <c r="E58" s="7" t="s">
        <v>13</v>
      </c>
      <c r="F58" s="4" t="s">
        <v>25</v>
      </c>
      <c r="G58" s="10" t="s">
        <v>225</v>
      </c>
      <c r="H58" s="4" t="s">
        <v>34</v>
      </c>
      <c r="I58" s="4" t="s">
        <v>35</v>
      </c>
      <c r="J58" s="12" t="s">
        <v>37</v>
      </c>
      <c r="K58" s="4"/>
    </row>
    <row r="59" ht="15.75" customHeight="1">
      <c r="A59" s="4">
        <v>58.0</v>
      </c>
      <c r="B59" s="3" t="s">
        <v>61</v>
      </c>
      <c r="C59" s="3" t="s">
        <v>226</v>
      </c>
      <c r="D59" s="3" t="s">
        <v>227</v>
      </c>
      <c r="E59" s="15" t="s">
        <v>28</v>
      </c>
      <c r="F59" s="4" t="s">
        <v>25</v>
      </c>
      <c r="G59" s="10" t="s">
        <v>228</v>
      </c>
      <c r="H59" s="4" t="s">
        <v>34</v>
      </c>
      <c r="I59" s="4" t="s">
        <v>35</v>
      </c>
      <c r="J59" s="12" t="s">
        <v>37</v>
      </c>
      <c r="K59" s="4"/>
    </row>
    <row r="60" ht="15.75" customHeight="1">
      <c r="A60" s="4">
        <v>59.0</v>
      </c>
      <c r="B60" s="3" t="s">
        <v>61</v>
      </c>
      <c r="C60" s="3" t="s">
        <v>229</v>
      </c>
      <c r="D60" s="3" t="s">
        <v>230</v>
      </c>
      <c r="E60" s="15" t="s">
        <v>28</v>
      </c>
      <c r="F60" s="4" t="s">
        <v>25</v>
      </c>
      <c r="G60" s="10" t="s">
        <v>231</v>
      </c>
      <c r="H60" s="4" t="s">
        <v>60</v>
      </c>
      <c r="I60" s="4" t="s">
        <v>35</v>
      </c>
      <c r="J60" s="14" t="s">
        <v>28</v>
      </c>
      <c r="K60" s="4"/>
    </row>
    <row r="61" ht="15.75" customHeight="1">
      <c r="A61" s="4">
        <v>60.0</v>
      </c>
      <c r="B61" s="3" t="s">
        <v>61</v>
      </c>
      <c r="C61" s="3" t="s">
        <v>232</v>
      </c>
      <c r="D61" s="3" t="s">
        <v>233</v>
      </c>
      <c r="E61" s="15" t="s">
        <v>28</v>
      </c>
      <c r="F61" s="4" t="s">
        <v>25</v>
      </c>
      <c r="G61" s="10" t="s">
        <v>234</v>
      </c>
      <c r="H61" s="4" t="s">
        <v>60</v>
      </c>
      <c r="I61" s="4" t="s">
        <v>35</v>
      </c>
      <c r="J61" s="14" t="s">
        <v>28</v>
      </c>
      <c r="K61" s="4"/>
    </row>
    <row r="62" ht="15.75" customHeight="1">
      <c r="A62" s="4">
        <v>61.0</v>
      </c>
      <c r="B62" s="3" t="s">
        <v>61</v>
      </c>
      <c r="C62" s="3" t="s">
        <v>235</v>
      </c>
      <c r="D62" s="3" t="s">
        <v>236</v>
      </c>
      <c r="E62" s="15" t="s">
        <v>28</v>
      </c>
      <c r="F62" s="4" t="s">
        <v>25</v>
      </c>
      <c r="G62" s="10" t="s">
        <v>237</v>
      </c>
      <c r="H62" s="4" t="s">
        <v>60</v>
      </c>
      <c r="I62" s="4" t="s">
        <v>35</v>
      </c>
      <c r="J62" s="17" t="s">
        <v>169</v>
      </c>
      <c r="K62" s="4"/>
    </row>
    <row r="63" ht="15.75" customHeight="1">
      <c r="A63" s="4">
        <v>62.0</v>
      </c>
      <c r="B63" s="3" t="s">
        <v>62</v>
      </c>
      <c r="C63" s="3" t="s">
        <v>226</v>
      </c>
      <c r="D63" s="3" t="s">
        <v>238</v>
      </c>
      <c r="E63" s="7" t="s">
        <v>13</v>
      </c>
      <c r="F63" s="4" t="s">
        <v>25</v>
      </c>
      <c r="G63" s="10" t="s">
        <v>239</v>
      </c>
      <c r="H63" s="4" t="s">
        <v>60</v>
      </c>
      <c r="I63" s="4" t="s">
        <v>35</v>
      </c>
      <c r="J63" s="14" t="s">
        <v>28</v>
      </c>
      <c r="K63" s="4"/>
    </row>
    <row r="64" ht="15.75" customHeight="1">
      <c r="A64" s="4">
        <v>63.0</v>
      </c>
      <c r="B64" s="3" t="s">
        <v>31</v>
      </c>
      <c r="C64" s="3" t="s">
        <v>240</v>
      </c>
      <c r="D64" s="3" t="s">
        <v>241</v>
      </c>
      <c r="E64" s="16" t="s">
        <v>22</v>
      </c>
      <c r="F64" s="4" t="s">
        <v>96</v>
      </c>
      <c r="G64" s="10" t="s">
        <v>242</v>
      </c>
      <c r="H64" s="4" t="s">
        <v>34</v>
      </c>
      <c r="I64" s="4" t="s">
        <v>35</v>
      </c>
      <c r="J64" s="12" t="s">
        <v>37</v>
      </c>
      <c r="K64" s="4"/>
    </row>
    <row r="65" ht="15.75" customHeight="1">
      <c r="A65" s="4">
        <v>64.0</v>
      </c>
      <c r="B65" s="3" t="s">
        <v>62</v>
      </c>
      <c r="C65" s="3" t="s">
        <v>53</v>
      </c>
      <c r="D65" s="3" t="s">
        <v>243</v>
      </c>
      <c r="E65" s="15" t="s">
        <v>28</v>
      </c>
      <c r="F65" s="4" t="s">
        <v>25</v>
      </c>
      <c r="G65" s="10" t="s">
        <v>244</v>
      </c>
      <c r="H65" s="4" t="s">
        <v>60</v>
      </c>
      <c r="I65" s="4" t="s">
        <v>35</v>
      </c>
      <c r="J65" s="14" t="s">
        <v>28</v>
      </c>
      <c r="K65" s="4"/>
    </row>
    <row r="66" ht="15.75" customHeight="1">
      <c r="A66" s="4">
        <v>65.0</v>
      </c>
      <c r="B66" s="3" t="s">
        <v>66</v>
      </c>
      <c r="C66" s="3" t="s">
        <v>104</v>
      </c>
      <c r="D66" s="3" t="s">
        <v>245</v>
      </c>
      <c r="E66" s="7" t="s">
        <v>13</v>
      </c>
      <c r="F66" s="4" t="s">
        <v>25</v>
      </c>
      <c r="G66" s="10" t="s">
        <v>246</v>
      </c>
      <c r="H66" s="4" t="s">
        <v>34</v>
      </c>
      <c r="I66" s="4" t="s">
        <v>35</v>
      </c>
      <c r="J66" s="12" t="s">
        <v>37</v>
      </c>
      <c r="K66" s="4"/>
    </row>
    <row r="67" ht="15.75" customHeight="1">
      <c r="A67" s="4">
        <v>66.0</v>
      </c>
      <c r="B67" s="3" t="s">
        <v>66</v>
      </c>
      <c r="C67" s="3" t="s">
        <v>247</v>
      </c>
      <c r="D67" s="3" t="s">
        <v>248</v>
      </c>
      <c r="E67" s="7" t="s">
        <v>13</v>
      </c>
      <c r="F67" s="4" t="s">
        <v>25</v>
      </c>
      <c r="G67" s="10" t="s">
        <v>249</v>
      </c>
      <c r="H67" s="4" t="s">
        <v>34</v>
      </c>
      <c r="I67" s="4" t="s">
        <v>35</v>
      </c>
      <c r="J67" s="12" t="s">
        <v>37</v>
      </c>
      <c r="K67" s="4"/>
    </row>
    <row r="68" ht="15.75" customHeight="1">
      <c r="A68" s="4">
        <v>67.0</v>
      </c>
      <c r="B68" s="3" t="s">
        <v>66</v>
      </c>
      <c r="C68" s="3" t="s">
        <v>250</v>
      </c>
      <c r="D68" s="3" t="s">
        <v>251</v>
      </c>
      <c r="E68" s="7" t="s">
        <v>13</v>
      </c>
      <c r="F68" s="4" t="s">
        <v>25</v>
      </c>
      <c r="G68" s="10" t="s">
        <v>252</v>
      </c>
      <c r="H68" s="4" t="s">
        <v>34</v>
      </c>
      <c r="I68" s="4" t="s">
        <v>35</v>
      </c>
      <c r="J68" s="12" t="s">
        <v>37</v>
      </c>
      <c r="K68" s="4"/>
    </row>
    <row r="69" ht="15.75" customHeight="1">
      <c r="A69" s="4">
        <v>68.0</v>
      </c>
      <c r="B69" s="3" t="s">
        <v>66</v>
      </c>
      <c r="C69" s="3" t="s">
        <v>253</v>
      </c>
      <c r="D69" s="3" t="s">
        <v>254</v>
      </c>
      <c r="E69" s="7" t="s">
        <v>13</v>
      </c>
      <c r="F69" s="4" t="s">
        <v>25</v>
      </c>
      <c r="G69" s="10" t="s">
        <v>255</v>
      </c>
      <c r="H69" s="4" t="s">
        <v>34</v>
      </c>
      <c r="I69" s="4" t="s">
        <v>35</v>
      </c>
      <c r="J69" s="12" t="s">
        <v>37</v>
      </c>
      <c r="K69" s="4"/>
    </row>
    <row r="70" ht="15.75" customHeight="1">
      <c r="A70" s="4">
        <v>69.0</v>
      </c>
      <c r="B70" s="3" t="s">
        <v>66</v>
      </c>
      <c r="C70" s="3" t="s">
        <v>176</v>
      </c>
      <c r="D70" s="3" t="s">
        <v>256</v>
      </c>
      <c r="E70" s="15" t="s">
        <v>28</v>
      </c>
      <c r="F70" s="4" t="s">
        <v>25</v>
      </c>
      <c r="G70" s="10" t="s">
        <v>257</v>
      </c>
      <c r="H70" s="4" t="s">
        <v>60</v>
      </c>
      <c r="I70" s="4" t="s">
        <v>35</v>
      </c>
      <c r="J70" s="14" t="s">
        <v>28</v>
      </c>
      <c r="K70" s="4"/>
    </row>
    <row r="71" ht="15.75" customHeight="1">
      <c r="A71" s="4">
        <v>70.0</v>
      </c>
      <c r="B71" s="3" t="s">
        <v>66</v>
      </c>
      <c r="C71" s="3" t="s">
        <v>258</v>
      </c>
      <c r="D71" s="3" t="s">
        <v>259</v>
      </c>
      <c r="E71" s="7" t="s">
        <v>13</v>
      </c>
      <c r="F71" s="4" t="s">
        <v>25</v>
      </c>
      <c r="G71" s="10" t="s">
        <v>260</v>
      </c>
      <c r="H71" s="4" t="s">
        <v>60</v>
      </c>
      <c r="I71" s="4" t="s">
        <v>35</v>
      </c>
      <c r="J71" s="14" t="s">
        <v>28</v>
      </c>
      <c r="K71" s="4"/>
    </row>
    <row r="72" ht="15.75" customHeight="1">
      <c r="A72" s="4">
        <v>71.0</v>
      </c>
      <c r="B72" s="3" t="s">
        <v>66</v>
      </c>
      <c r="C72" s="3" t="s">
        <v>261</v>
      </c>
      <c r="D72" s="3" t="s">
        <v>262</v>
      </c>
      <c r="E72" s="7" t="s">
        <v>13</v>
      </c>
      <c r="F72" s="4" t="s">
        <v>25</v>
      </c>
      <c r="G72" s="10" t="s">
        <v>263</v>
      </c>
      <c r="H72" s="4" t="s">
        <v>60</v>
      </c>
      <c r="I72" s="4" t="s">
        <v>35</v>
      </c>
      <c r="J72" s="14" t="s">
        <v>28</v>
      </c>
      <c r="K72" s="4"/>
    </row>
    <row r="73" ht="15.75" customHeight="1">
      <c r="A73" s="4">
        <v>72.0</v>
      </c>
      <c r="B73" s="3" t="s">
        <v>67</v>
      </c>
      <c r="C73" s="3" t="s">
        <v>197</v>
      </c>
      <c r="D73" s="3" t="s">
        <v>264</v>
      </c>
      <c r="E73" s="7" t="s">
        <v>13</v>
      </c>
      <c r="F73" s="4" t="s">
        <v>25</v>
      </c>
      <c r="G73" s="10" t="s">
        <v>265</v>
      </c>
      <c r="H73" s="4" t="s">
        <v>34</v>
      </c>
      <c r="I73" s="4" t="s">
        <v>35</v>
      </c>
      <c r="J73" s="12" t="s">
        <v>37</v>
      </c>
      <c r="K73" s="4"/>
    </row>
    <row r="74" ht="15.75" customHeight="1">
      <c r="A74" s="4">
        <v>73.0</v>
      </c>
      <c r="B74" s="3" t="s">
        <v>67</v>
      </c>
      <c r="C74" s="3" t="s">
        <v>266</v>
      </c>
      <c r="D74" s="3" t="s">
        <v>267</v>
      </c>
      <c r="E74" s="15" t="s">
        <v>28</v>
      </c>
      <c r="F74" s="4" t="s">
        <v>25</v>
      </c>
      <c r="G74" s="10" t="s">
        <v>268</v>
      </c>
      <c r="H74" s="4" t="s">
        <v>34</v>
      </c>
      <c r="I74" s="4" t="s">
        <v>35</v>
      </c>
      <c r="J74" s="12" t="s">
        <v>37</v>
      </c>
      <c r="K74" s="4"/>
    </row>
    <row r="75" ht="15.75" customHeight="1">
      <c r="A75" s="4">
        <v>74.0</v>
      </c>
      <c r="B75" s="3" t="s">
        <v>67</v>
      </c>
      <c r="C75" s="3" t="s">
        <v>269</v>
      </c>
      <c r="D75" s="3" t="s">
        <v>270</v>
      </c>
      <c r="E75" s="16" t="s">
        <v>22</v>
      </c>
      <c r="F75" s="4" t="s">
        <v>25</v>
      </c>
      <c r="G75" s="10" t="s">
        <v>271</v>
      </c>
      <c r="H75" s="4" t="s">
        <v>60</v>
      </c>
      <c r="I75" s="4" t="s">
        <v>35</v>
      </c>
      <c r="J75" s="14" t="s">
        <v>28</v>
      </c>
      <c r="K75" s="4"/>
    </row>
    <row r="76" ht="15.75" customHeight="1">
      <c r="A76" s="4">
        <v>75.0</v>
      </c>
      <c r="B76" s="3" t="s">
        <v>67</v>
      </c>
      <c r="C76" s="3" t="s">
        <v>57</v>
      </c>
      <c r="D76" s="3" t="s">
        <v>272</v>
      </c>
      <c r="E76" s="7" t="s">
        <v>13</v>
      </c>
      <c r="F76" s="4" t="s">
        <v>25</v>
      </c>
      <c r="G76" s="10" t="s">
        <v>273</v>
      </c>
      <c r="H76" s="4" t="s">
        <v>60</v>
      </c>
      <c r="I76" s="4" t="s">
        <v>35</v>
      </c>
      <c r="J76" s="14" t="s">
        <v>28</v>
      </c>
      <c r="K76" s="4"/>
    </row>
    <row r="77" ht="15.75" customHeight="1">
      <c r="A77" s="4">
        <v>76.0</v>
      </c>
      <c r="B77" s="3" t="s">
        <v>67</v>
      </c>
      <c r="C77" s="3" t="s">
        <v>274</v>
      </c>
      <c r="D77" s="3" t="s">
        <v>275</v>
      </c>
      <c r="E77" s="7" t="s">
        <v>13</v>
      </c>
      <c r="F77" s="4" t="s">
        <v>25</v>
      </c>
      <c r="G77" s="10" t="s">
        <v>276</v>
      </c>
      <c r="H77" s="4" t="s">
        <v>60</v>
      </c>
      <c r="I77" s="4" t="s">
        <v>35</v>
      </c>
      <c r="J77" s="14" t="s">
        <v>28</v>
      </c>
      <c r="K77" s="4"/>
    </row>
    <row r="78" ht="15.75" customHeight="1">
      <c r="A78" s="4">
        <v>77.0</v>
      </c>
      <c r="B78" s="3" t="s">
        <v>67</v>
      </c>
      <c r="C78" s="3" t="s">
        <v>277</v>
      </c>
      <c r="D78" s="3" t="s">
        <v>277</v>
      </c>
      <c r="E78" s="7" t="s">
        <v>13</v>
      </c>
      <c r="F78" s="4" t="s">
        <v>25</v>
      </c>
      <c r="G78" s="10" t="s">
        <v>278</v>
      </c>
      <c r="H78" s="4" t="s">
        <v>60</v>
      </c>
      <c r="I78" s="4" t="s">
        <v>35</v>
      </c>
      <c r="J78" s="14" t="s">
        <v>28</v>
      </c>
      <c r="K78" s="4"/>
    </row>
    <row r="79" ht="15.75" customHeight="1">
      <c r="A79" s="4">
        <v>78.0</v>
      </c>
      <c r="B79" s="3" t="s">
        <v>68</v>
      </c>
      <c r="C79" s="3" t="s">
        <v>279</v>
      </c>
      <c r="D79" s="3" t="s">
        <v>280</v>
      </c>
      <c r="E79" s="15" t="s">
        <v>28</v>
      </c>
      <c r="F79" s="4" t="s">
        <v>25</v>
      </c>
      <c r="G79" s="10" t="s">
        <v>281</v>
      </c>
      <c r="H79" s="4" t="s">
        <v>60</v>
      </c>
      <c r="I79" s="4" t="s">
        <v>35</v>
      </c>
      <c r="J79" s="14" t="s">
        <v>28</v>
      </c>
      <c r="K79" s="4"/>
    </row>
    <row r="80" ht="15.75" customHeight="1">
      <c r="A80" s="4">
        <v>79.0</v>
      </c>
      <c r="B80" s="3" t="s">
        <v>68</v>
      </c>
      <c r="C80" s="3" t="s">
        <v>282</v>
      </c>
      <c r="D80" s="3" t="s">
        <v>283</v>
      </c>
      <c r="E80" s="16" t="s">
        <v>22</v>
      </c>
      <c r="F80" s="4" t="s">
        <v>25</v>
      </c>
      <c r="G80" s="10" t="s">
        <v>284</v>
      </c>
      <c r="H80" s="4" t="s">
        <v>60</v>
      </c>
      <c r="I80" s="4" t="s">
        <v>35</v>
      </c>
      <c r="J80" s="14" t="s">
        <v>28</v>
      </c>
      <c r="K80" s="4"/>
    </row>
    <row r="81" ht="15.75" customHeight="1">
      <c r="A81" s="4">
        <v>80.0</v>
      </c>
      <c r="B81" s="3" t="s">
        <v>71</v>
      </c>
      <c r="C81" s="3" t="s">
        <v>285</v>
      </c>
      <c r="D81" s="3" t="s">
        <v>286</v>
      </c>
      <c r="E81" s="7" t="s">
        <v>13</v>
      </c>
      <c r="F81" s="4" t="s">
        <v>96</v>
      </c>
      <c r="G81" s="10" t="s">
        <v>287</v>
      </c>
      <c r="H81" s="4" t="s">
        <v>34</v>
      </c>
      <c r="I81" s="4" t="s">
        <v>35</v>
      </c>
      <c r="J81" s="12" t="s">
        <v>37</v>
      </c>
      <c r="K81" s="4"/>
    </row>
    <row r="82" ht="15.75" customHeight="1">
      <c r="A82" s="4">
        <v>81.0</v>
      </c>
      <c r="B82" s="3" t="s">
        <v>73</v>
      </c>
      <c r="C82" s="3" t="s">
        <v>288</v>
      </c>
      <c r="D82" s="3" t="s">
        <v>289</v>
      </c>
      <c r="E82" s="7" t="s">
        <v>13</v>
      </c>
      <c r="F82" s="4" t="s">
        <v>25</v>
      </c>
      <c r="G82" s="10" t="s">
        <v>290</v>
      </c>
      <c r="H82" s="4" t="s">
        <v>60</v>
      </c>
      <c r="I82" s="4" t="s">
        <v>35</v>
      </c>
      <c r="J82" s="14" t="s">
        <v>28</v>
      </c>
      <c r="K82" s="4"/>
    </row>
    <row r="83" ht="15.75" customHeight="1">
      <c r="A83" s="4">
        <v>82.0</v>
      </c>
      <c r="B83" s="3" t="s">
        <v>73</v>
      </c>
      <c r="C83" s="3" t="s">
        <v>253</v>
      </c>
      <c r="D83" s="3" t="s">
        <v>291</v>
      </c>
      <c r="E83" s="15" t="s">
        <v>28</v>
      </c>
      <c r="F83" s="4" t="s">
        <v>25</v>
      </c>
      <c r="G83" s="10" t="s">
        <v>292</v>
      </c>
      <c r="H83" s="4" t="s">
        <v>60</v>
      </c>
      <c r="I83" s="4" t="s">
        <v>35</v>
      </c>
      <c r="J83" s="17" t="s">
        <v>169</v>
      </c>
      <c r="K83" s="4"/>
    </row>
    <row r="84" ht="15.75" customHeight="1">
      <c r="A84" s="4">
        <v>83.0</v>
      </c>
      <c r="B84" s="3" t="s">
        <v>73</v>
      </c>
      <c r="C84" s="3" t="s">
        <v>293</v>
      </c>
      <c r="D84" s="3" t="s">
        <v>294</v>
      </c>
      <c r="E84" s="15" t="s">
        <v>28</v>
      </c>
      <c r="F84" s="4" t="s">
        <v>25</v>
      </c>
      <c r="G84" s="10" t="s">
        <v>295</v>
      </c>
      <c r="H84" s="4" t="s">
        <v>60</v>
      </c>
      <c r="I84" s="4" t="s">
        <v>35</v>
      </c>
      <c r="J84" s="14" t="s">
        <v>28</v>
      </c>
      <c r="K84" s="4"/>
    </row>
    <row r="85" ht="15.75" customHeight="1">
      <c r="A85" s="4">
        <v>84.0</v>
      </c>
      <c r="B85" s="3" t="s">
        <v>74</v>
      </c>
      <c r="C85" s="3" t="s">
        <v>296</v>
      </c>
      <c r="D85" s="3" t="s">
        <v>296</v>
      </c>
      <c r="E85" s="15" t="s">
        <v>28</v>
      </c>
      <c r="F85" s="4" t="s">
        <v>25</v>
      </c>
      <c r="G85" s="10" t="s">
        <v>297</v>
      </c>
      <c r="H85" s="4" t="s">
        <v>60</v>
      </c>
      <c r="I85" s="4" t="s">
        <v>35</v>
      </c>
      <c r="J85" s="14" t="s">
        <v>28</v>
      </c>
      <c r="K85" s="4"/>
    </row>
    <row r="86" ht="15.75" customHeight="1">
      <c r="A86" s="4">
        <v>85.0</v>
      </c>
      <c r="B86" s="3" t="s">
        <v>74</v>
      </c>
      <c r="C86" s="3" t="s">
        <v>298</v>
      </c>
      <c r="D86" s="3" t="s">
        <v>299</v>
      </c>
      <c r="E86" s="15" t="s">
        <v>28</v>
      </c>
      <c r="F86" s="4" t="s">
        <v>25</v>
      </c>
      <c r="G86" s="10" t="s">
        <v>300</v>
      </c>
      <c r="H86" s="4" t="s">
        <v>60</v>
      </c>
      <c r="I86" s="4" t="s">
        <v>35</v>
      </c>
      <c r="J86" s="14" t="s">
        <v>28</v>
      </c>
      <c r="K86" s="4"/>
    </row>
    <row r="87" ht="15.75" customHeight="1">
      <c r="A87" s="4">
        <v>86.0</v>
      </c>
      <c r="B87" s="3" t="s">
        <v>77</v>
      </c>
      <c r="C87" s="3" t="s">
        <v>301</v>
      </c>
      <c r="D87" s="3" t="s">
        <v>302</v>
      </c>
      <c r="E87" s="7" t="s">
        <v>13</v>
      </c>
      <c r="F87" s="4" t="s">
        <v>25</v>
      </c>
      <c r="G87" s="10" t="s">
        <v>303</v>
      </c>
      <c r="H87" s="4" t="s">
        <v>60</v>
      </c>
      <c r="I87" s="4" t="s">
        <v>35</v>
      </c>
      <c r="J87" s="14" t="s">
        <v>28</v>
      </c>
      <c r="K87" s="4"/>
    </row>
    <row r="88" ht="15.75" customHeight="1">
      <c r="A88" s="4">
        <v>87.0</v>
      </c>
      <c r="B88" s="3" t="s">
        <v>79</v>
      </c>
      <c r="C88" s="3" t="s">
        <v>304</v>
      </c>
      <c r="D88" s="3" t="s">
        <v>305</v>
      </c>
      <c r="E88" s="7" t="s">
        <v>13</v>
      </c>
      <c r="F88" s="4" t="s">
        <v>25</v>
      </c>
      <c r="G88" s="10" t="s">
        <v>306</v>
      </c>
      <c r="H88" s="4" t="s">
        <v>34</v>
      </c>
      <c r="I88" s="4" t="s">
        <v>35</v>
      </c>
      <c r="J88" s="12" t="s">
        <v>37</v>
      </c>
      <c r="K88" s="4"/>
    </row>
    <row r="89" ht="15.75" customHeight="1">
      <c r="A89" s="4">
        <v>88.0</v>
      </c>
      <c r="B89" s="3" t="s">
        <v>79</v>
      </c>
      <c r="C89" s="3" t="s">
        <v>304</v>
      </c>
      <c r="D89" s="3" t="s">
        <v>307</v>
      </c>
      <c r="E89" s="15" t="s">
        <v>28</v>
      </c>
      <c r="F89" s="4" t="s">
        <v>25</v>
      </c>
      <c r="G89" s="10" t="s">
        <v>308</v>
      </c>
      <c r="H89" s="4" t="s">
        <v>34</v>
      </c>
      <c r="I89" s="4" t="s">
        <v>35</v>
      </c>
      <c r="J89" s="12" t="s">
        <v>37</v>
      </c>
      <c r="K89" s="4"/>
    </row>
    <row r="90" ht="15.75" customHeight="1">
      <c r="A90" s="4">
        <v>89.0</v>
      </c>
      <c r="B90" s="3" t="s">
        <v>79</v>
      </c>
      <c r="C90" s="3" t="s">
        <v>309</v>
      </c>
      <c r="D90" s="3" t="s">
        <v>309</v>
      </c>
      <c r="E90" s="15" t="s">
        <v>28</v>
      </c>
      <c r="F90" s="4" t="s">
        <v>25</v>
      </c>
      <c r="G90" s="10" t="s">
        <v>310</v>
      </c>
      <c r="H90" s="4" t="s">
        <v>60</v>
      </c>
      <c r="I90" s="4" t="s">
        <v>35</v>
      </c>
      <c r="J90" s="14" t="s">
        <v>28</v>
      </c>
      <c r="K90" s="4"/>
    </row>
    <row r="91" ht="15.75" customHeight="1">
      <c r="A91" s="4">
        <v>90.0</v>
      </c>
      <c r="B91" s="3" t="s">
        <v>79</v>
      </c>
      <c r="C91" s="3" t="s">
        <v>311</v>
      </c>
      <c r="D91" s="3" t="s">
        <v>312</v>
      </c>
      <c r="E91" s="15" t="s">
        <v>28</v>
      </c>
      <c r="F91" s="4" t="s">
        <v>25</v>
      </c>
      <c r="G91" s="10" t="s">
        <v>313</v>
      </c>
      <c r="H91" s="4" t="s">
        <v>60</v>
      </c>
      <c r="I91" s="4" t="s">
        <v>35</v>
      </c>
      <c r="J91" s="14" t="s">
        <v>28</v>
      </c>
      <c r="K91" s="4"/>
    </row>
    <row r="92" ht="15.75" customHeight="1">
      <c r="A92" s="4">
        <v>91.0</v>
      </c>
      <c r="B92" s="3" t="s">
        <v>79</v>
      </c>
      <c r="C92" s="3" t="s">
        <v>314</v>
      </c>
      <c r="D92" s="3" t="s">
        <v>315</v>
      </c>
      <c r="E92" s="15" t="s">
        <v>28</v>
      </c>
      <c r="F92" s="4" t="s">
        <v>25</v>
      </c>
      <c r="G92" s="10" t="s">
        <v>316</v>
      </c>
      <c r="H92" s="4" t="s">
        <v>60</v>
      </c>
      <c r="I92" s="4" t="s">
        <v>35</v>
      </c>
      <c r="J92" s="14" t="s">
        <v>28</v>
      </c>
      <c r="K92" s="4"/>
    </row>
    <row r="93" ht="15.75" customHeight="1">
      <c r="A93" s="4">
        <v>92.0</v>
      </c>
      <c r="B93" s="3" t="s">
        <v>80</v>
      </c>
      <c r="C93" s="3" t="s">
        <v>317</v>
      </c>
      <c r="D93" s="3" t="s">
        <v>317</v>
      </c>
      <c r="E93" s="7" t="s">
        <v>13</v>
      </c>
      <c r="F93" s="4" t="s">
        <v>25</v>
      </c>
      <c r="G93" s="10" t="s">
        <v>318</v>
      </c>
      <c r="H93" s="4" t="s">
        <v>34</v>
      </c>
      <c r="I93" s="4" t="s">
        <v>35</v>
      </c>
      <c r="J93" s="12" t="s">
        <v>37</v>
      </c>
      <c r="K93" s="4"/>
    </row>
    <row r="94" ht="15.75" customHeight="1">
      <c r="A94" s="4">
        <v>93.0</v>
      </c>
      <c r="B94" s="3" t="s">
        <v>80</v>
      </c>
      <c r="C94" s="3" t="s">
        <v>319</v>
      </c>
      <c r="D94" s="3" t="s">
        <v>320</v>
      </c>
      <c r="E94" s="15" t="s">
        <v>28</v>
      </c>
      <c r="F94" s="4" t="s">
        <v>25</v>
      </c>
      <c r="G94" s="10" t="s">
        <v>321</v>
      </c>
      <c r="H94" s="4" t="s">
        <v>34</v>
      </c>
      <c r="I94" s="4" t="s">
        <v>35</v>
      </c>
      <c r="J94" s="12" t="s">
        <v>37</v>
      </c>
      <c r="K94" s="4"/>
    </row>
    <row r="95" ht="15.75" customHeight="1">
      <c r="A95" s="4">
        <v>94.0</v>
      </c>
      <c r="B95" s="3" t="s">
        <v>80</v>
      </c>
      <c r="C95" s="3" t="s">
        <v>266</v>
      </c>
      <c r="D95" s="3" t="s">
        <v>322</v>
      </c>
      <c r="E95" s="15" t="s">
        <v>28</v>
      </c>
      <c r="F95" s="4" t="s">
        <v>25</v>
      </c>
      <c r="G95" s="10" t="s">
        <v>323</v>
      </c>
      <c r="H95" s="4" t="s">
        <v>60</v>
      </c>
      <c r="I95" s="4" t="s">
        <v>35</v>
      </c>
      <c r="J95" s="14" t="s">
        <v>28</v>
      </c>
      <c r="K95" s="4"/>
    </row>
    <row r="96" ht="15.75" customHeight="1">
      <c r="A96" s="4">
        <v>95.0</v>
      </c>
      <c r="B96" s="3" t="s">
        <v>80</v>
      </c>
      <c r="C96" s="3" t="s">
        <v>324</v>
      </c>
      <c r="D96" s="3" t="s">
        <v>325</v>
      </c>
      <c r="E96" s="15" t="s">
        <v>28</v>
      </c>
      <c r="F96" s="4" t="s">
        <v>25</v>
      </c>
      <c r="G96" s="10" t="s">
        <v>326</v>
      </c>
      <c r="H96" s="4" t="s">
        <v>60</v>
      </c>
      <c r="I96" s="4" t="s">
        <v>35</v>
      </c>
      <c r="J96" s="17" t="s">
        <v>169</v>
      </c>
      <c r="K96" s="4"/>
    </row>
    <row r="97" ht="15.75" customHeight="1">
      <c r="A97" s="4">
        <v>96.0</v>
      </c>
      <c r="B97" s="3" t="s">
        <v>81</v>
      </c>
      <c r="C97" s="3" t="s">
        <v>327</v>
      </c>
      <c r="D97" s="3" t="s">
        <v>328</v>
      </c>
      <c r="E97" s="7" t="s">
        <v>13</v>
      </c>
      <c r="F97" s="4" t="s">
        <v>25</v>
      </c>
      <c r="G97" s="10" t="s">
        <v>329</v>
      </c>
      <c r="H97" s="4" t="s">
        <v>60</v>
      </c>
      <c r="I97" s="4" t="s">
        <v>35</v>
      </c>
      <c r="J97" s="14" t="s">
        <v>28</v>
      </c>
      <c r="K97" s="4"/>
    </row>
    <row r="98" ht="15.75" customHeight="1">
      <c r="A98" s="4">
        <v>97.0</v>
      </c>
      <c r="B98" s="3" t="s">
        <v>23</v>
      </c>
      <c r="C98" s="3" t="s">
        <v>330</v>
      </c>
      <c r="D98" s="3" t="s">
        <v>331</v>
      </c>
      <c r="E98" s="7" t="s">
        <v>13</v>
      </c>
      <c r="F98" s="4" t="s">
        <v>25</v>
      </c>
      <c r="G98" s="10" t="s">
        <v>332</v>
      </c>
      <c r="H98" s="4" t="s">
        <v>34</v>
      </c>
      <c r="I98" s="4" t="s">
        <v>35</v>
      </c>
      <c r="J98" s="12" t="s">
        <v>37</v>
      </c>
      <c r="K98" s="4"/>
    </row>
    <row r="99" ht="15.75" customHeight="1">
      <c r="A99" s="4">
        <v>98.0</v>
      </c>
      <c r="B99" s="3" t="s">
        <v>81</v>
      </c>
      <c r="C99" s="3" t="s">
        <v>333</v>
      </c>
      <c r="D99" s="3" t="s">
        <v>334</v>
      </c>
      <c r="E99" s="7" t="s">
        <v>13</v>
      </c>
      <c r="F99" s="4" t="s">
        <v>25</v>
      </c>
      <c r="G99" s="10" t="s">
        <v>335</v>
      </c>
      <c r="H99" s="4" t="s">
        <v>60</v>
      </c>
      <c r="I99" s="4" t="s">
        <v>35</v>
      </c>
      <c r="J99" s="17" t="s">
        <v>169</v>
      </c>
      <c r="K99" s="4"/>
    </row>
    <row r="100" ht="15.75" customHeight="1">
      <c r="A100" s="4">
        <v>99.0</v>
      </c>
      <c r="B100" s="3" t="s">
        <v>31</v>
      </c>
      <c r="C100" s="3" t="s">
        <v>336</v>
      </c>
      <c r="D100" s="3" t="s">
        <v>337</v>
      </c>
      <c r="E100" s="15" t="s">
        <v>28</v>
      </c>
      <c r="F100" s="4" t="s">
        <v>25</v>
      </c>
      <c r="G100" s="10" t="s">
        <v>338</v>
      </c>
      <c r="H100" s="4" t="s">
        <v>34</v>
      </c>
      <c r="I100" s="4" t="s">
        <v>35</v>
      </c>
      <c r="J100" s="12" t="s">
        <v>37</v>
      </c>
      <c r="K100" s="4"/>
    </row>
    <row r="101" ht="15.75" customHeight="1">
      <c r="A101" s="4">
        <v>100.0</v>
      </c>
      <c r="B101" s="3" t="s">
        <v>85</v>
      </c>
      <c r="C101" s="3" t="s">
        <v>339</v>
      </c>
      <c r="D101" s="3" t="s">
        <v>340</v>
      </c>
      <c r="E101" s="7" t="s">
        <v>13</v>
      </c>
      <c r="F101" s="4" t="s">
        <v>25</v>
      </c>
      <c r="G101" s="10" t="s">
        <v>341</v>
      </c>
      <c r="H101" s="4" t="s">
        <v>60</v>
      </c>
      <c r="I101" s="4" t="s">
        <v>35</v>
      </c>
      <c r="J101" s="14" t="s">
        <v>28</v>
      </c>
      <c r="K101" s="4"/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  <hyperlink r:id="rId23" ref="G24"/>
    <hyperlink r:id="rId24" ref="G25"/>
    <hyperlink r:id="rId25" ref="G26"/>
    <hyperlink r:id="rId26" ref="G27"/>
    <hyperlink r:id="rId27" ref="G28"/>
    <hyperlink r:id="rId28" ref="G29"/>
    <hyperlink r:id="rId29" ref="G30"/>
    <hyperlink r:id="rId30" ref="G31"/>
    <hyperlink r:id="rId31" ref="G32"/>
    <hyperlink r:id="rId32" ref="G33"/>
    <hyperlink r:id="rId33" ref="G34"/>
    <hyperlink r:id="rId34" ref="G35"/>
    <hyperlink r:id="rId35" ref="G36"/>
    <hyperlink r:id="rId36" ref="G37"/>
    <hyperlink r:id="rId37" ref="G38"/>
    <hyperlink r:id="rId38" ref="G39"/>
    <hyperlink r:id="rId39" ref="G40"/>
    <hyperlink r:id="rId40" ref="G41"/>
    <hyperlink r:id="rId41" ref="G42"/>
    <hyperlink r:id="rId42" ref="G43"/>
    <hyperlink r:id="rId43" ref="G44"/>
    <hyperlink r:id="rId44" ref="G45"/>
    <hyperlink r:id="rId45" ref="G46"/>
    <hyperlink r:id="rId46" ref="G47"/>
    <hyperlink r:id="rId47" ref="G48"/>
    <hyperlink r:id="rId48" ref="G49"/>
    <hyperlink r:id="rId49" ref="G50"/>
    <hyperlink r:id="rId50" ref="G51"/>
    <hyperlink r:id="rId51" ref="G52"/>
    <hyperlink r:id="rId52" ref="G53"/>
    <hyperlink r:id="rId53" ref="G54"/>
    <hyperlink r:id="rId54" ref="G55"/>
    <hyperlink r:id="rId55" ref="G56"/>
    <hyperlink r:id="rId56" ref="G57"/>
    <hyperlink r:id="rId57" ref="G58"/>
    <hyperlink r:id="rId58" ref="G59"/>
    <hyperlink r:id="rId59" ref="G60"/>
    <hyperlink r:id="rId60" ref="G61"/>
    <hyperlink r:id="rId61" ref="G62"/>
    <hyperlink r:id="rId62" ref="G63"/>
    <hyperlink r:id="rId63" ref="G64"/>
    <hyperlink r:id="rId64" ref="G65"/>
    <hyperlink r:id="rId65" ref="G66"/>
    <hyperlink r:id="rId66" ref="G67"/>
    <hyperlink r:id="rId67" ref="G68"/>
    <hyperlink r:id="rId68" ref="G69"/>
    <hyperlink r:id="rId69" ref="G70"/>
    <hyperlink r:id="rId70" ref="G71"/>
    <hyperlink r:id="rId71" ref="G72"/>
    <hyperlink r:id="rId72" ref="G73"/>
    <hyperlink r:id="rId73" ref="G74"/>
    <hyperlink r:id="rId74" ref="G75"/>
    <hyperlink r:id="rId75" ref="G76"/>
    <hyperlink r:id="rId76" ref="G77"/>
    <hyperlink r:id="rId77" ref="G78"/>
    <hyperlink r:id="rId78" ref="G79"/>
    <hyperlink r:id="rId79" ref="G80"/>
    <hyperlink r:id="rId80" ref="G81"/>
    <hyperlink r:id="rId81" ref="G82"/>
    <hyperlink r:id="rId82" ref="G83"/>
    <hyperlink r:id="rId83" ref="G84"/>
    <hyperlink r:id="rId84" ref="G85"/>
    <hyperlink r:id="rId85" ref="G86"/>
    <hyperlink r:id="rId86" ref="G87"/>
    <hyperlink r:id="rId87" ref="G88"/>
    <hyperlink r:id="rId88" ref="G89"/>
    <hyperlink r:id="rId89" ref="G90"/>
    <hyperlink r:id="rId90" ref="G91"/>
    <hyperlink r:id="rId91" ref="G92"/>
    <hyperlink r:id="rId92" ref="G93"/>
    <hyperlink r:id="rId93" ref="G94"/>
    <hyperlink r:id="rId94" ref="G95"/>
    <hyperlink r:id="rId95" ref="G96"/>
    <hyperlink r:id="rId96" ref="G97"/>
    <hyperlink r:id="rId97" ref="G98"/>
    <hyperlink r:id="rId98" ref="G99"/>
    <hyperlink r:id="rId99" ref="G100"/>
    <hyperlink r:id="rId100" ref="G101"/>
  </hyperlinks>
  <printOptions/>
  <pageMargins bottom="1.0" footer="0.0" header="0.0" left="0.75" right="0.75" top="1.0"/>
  <pageSetup paperSize="9" orientation="portrait"/>
  <drawing r:id="rId10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.0"/>
    <col customWidth="1" min="2" max="2" width="26.0"/>
    <col customWidth="1" min="3" max="3" width="18.0"/>
    <col customWidth="1" min="4" max="26" width="8.71"/>
  </cols>
  <sheetData>
    <row r="1">
      <c r="A1" s="1" t="s">
        <v>0</v>
      </c>
    </row>
    <row r="3">
      <c r="A3" s="2" t="s">
        <v>1</v>
      </c>
      <c r="B3" s="2" t="s">
        <v>5</v>
      </c>
      <c r="C3" s="2" t="s">
        <v>8</v>
      </c>
    </row>
    <row r="4">
      <c r="A4" s="4">
        <v>1.0</v>
      </c>
      <c r="B4" s="3" t="s">
        <v>12</v>
      </c>
      <c r="C4" s="4">
        <f>COUNTIF('Master Sheet (100 Qs)'!$B$2:$B$101,B4)</f>
        <v>11</v>
      </c>
    </row>
    <row r="5">
      <c r="A5" s="4">
        <v>2.0</v>
      </c>
      <c r="B5" s="3" t="s">
        <v>23</v>
      </c>
      <c r="C5" s="4">
        <f>COUNTIF('Master Sheet (100 Qs)'!$B$2:$B$101,B5)</f>
        <v>3</v>
      </c>
    </row>
    <row r="6">
      <c r="A6" s="4">
        <v>3.0</v>
      </c>
      <c r="B6" s="3" t="s">
        <v>30</v>
      </c>
      <c r="C6" s="4">
        <f>COUNTIF('Master Sheet (100 Qs)'!$B$2:$B$101,B6)</f>
        <v>9</v>
      </c>
    </row>
    <row r="7">
      <c r="A7" s="4">
        <v>4.0</v>
      </c>
      <c r="B7" s="3" t="s">
        <v>31</v>
      </c>
      <c r="C7" s="4">
        <f>COUNTIF('Master Sheet (100 Qs)'!$B$2:$B$101,B7)</f>
        <v>4</v>
      </c>
    </row>
    <row r="8">
      <c r="A8" s="4">
        <v>5.0</v>
      </c>
      <c r="B8" s="3" t="s">
        <v>36</v>
      </c>
      <c r="C8" s="4">
        <f>COUNTIF('Master Sheet (100 Qs)'!$B$2:$B$101,B8)</f>
        <v>1</v>
      </c>
    </row>
    <row r="9">
      <c r="A9" s="4">
        <v>6.0</v>
      </c>
      <c r="B9" s="3" t="s">
        <v>39</v>
      </c>
      <c r="C9" s="4">
        <f>COUNTIF('Master Sheet (100 Qs)'!$B$2:$B$101,B9)</f>
        <v>4</v>
      </c>
    </row>
    <row r="10">
      <c r="A10" s="4">
        <v>7.0</v>
      </c>
      <c r="B10" s="3" t="s">
        <v>42</v>
      </c>
      <c r="C10" s="4">
        <f>COUNTIF('Master Sheet (100 Qs)'!$B$2:$B$101,B10)</f>
        <v>2</v>
      </c>
    </row>
    <row r="11">
      <c r="A11" s="4">
        <v>8.0</v>
      </c>
      <c r="B11" s="3" t="s">
        <v>44</v>
      </c>
      <c r="C11" s="4">
        <f>COUNTIF('Master Sheet (100 Qs)'!$B$2:$B$101,B11)</f>
        <v>2</v>
      </c>
    </row>
    <row r="12">
      <c r="A12" s="4">
        <v>9.0</v>
      </c>
      <c r="B12" s="3" t="s">
        <v>48</v>
      </c>
      <c r="C12" s="4">
        <f>COUNTIF('Master Sheet (100 Qs)'!$B$2:$B$101,B12)</f>
        <v>6</v>
      </c>
    </row>
    <row r="13">
      <c r="A13" s="4">
        <v>10.0</v>
      </c>
      <c r="B13" s="3" t="s">
        <v>51</v>
      </c>
      <c r="C13" s="4">
        <f>COUNTIF('Master Sheet (100 Qs)'!$B$2:$B$101,B13)</f>
        <v>3</v>
      </c>
    </row>
    <row r="14">
      <c r="A14" s="4">
        <v>11.0</v>
      </c>
      <c r="B14" s="3" t="s">
        <v>53</v>
      </c>
      <c r="C14" s="4">
        <f>COUNTIF('Master Sheet (100 Qs)'!$B$2:$B$101,B14)</f>
        <v>3</v>
      </c>
    </row>
    <row r="15">
      <c r="A15" s="4">
        <v>12.0</v>
      </c>
      <c r="B15" s="3" t="s">
        <v>54</v>
      </c>
      <c r="C15" s="4">
        <f>COUNTIF('Master Sheet (100 Qs)'!$B$2:$B$101,B15)</f>
        <v>2</v>
      </c>
    </row>
    <row r="16">
      <c r="A16" s="4">
        <v>13.0</v>
      </c>
      <c r="B16" s="3" t="s">
        <v>55</v>
      </c>
      <c r="C16" s="4">
        <f>COUNTIF('Master Sheet (100 Qs)'!$B$2:$B$101,B16)</f>
        <v>4</v>
      </c>
    </row>
    <row r="17">
      <c r="A17" s="4">
        <v>14.0</v>
      </c>
      <c r="B17" s="3" t="s">
        <v>57</v>
      </c>
      <c r="C17" s="4">
        <f>COUNTIF('Master Sheet (100 Qs)'!$B$2:$B$101,B17)</f>
        <v>2</v>
      </c>
    </row>
    <row r="18">
      <c r="A18" s="4">
        <v>15.0</v>
      </c>
      <c r="B18" s="3" t="s">
        <v>59</v>
      </c>
      <c r="C18" s="4">
        <f>COUNTIF('Master Sheet (100 Qs)'!$B$2:$B$101,B18)</f>
        <v>3</v>
      </c>
    </row>
    <row r="19">
      <c r="A19" s="4">
        <v>16.0</v>
      </c>
      <c r="B19" s="3" t="s">
        <v>61</v>
      </c>
      <c r="C19" s="4">
        <f>COUNTIF('Master Sheet (100 Qs)'!$B$2:$B$101,B19)</f>
        <v>5</v>
      </c>
    </row>
    <row r="20">
      <c r="A20" s="4">
        <v>17.0</v>
      </c>
      <c r="B20" s="3" t="s">
        <v>62</v>
      </c>
      <c r="C20" s="4">
        <f>COUNTIF('Master Sheet (100 Qs)'!$B$2:$B$101,B20)</f>
        <v>2</v>
      </c>
    </row>
    <row r="21" ht="15.75" customHeight="1">
      <c r="A21" s="4">
        <v>18.0</v>
      </c>
      <c r="B21" s="3" t="s">
        <v>66</v>
      </c>
      <c r="C21" s="4">
        <f>COUNTIF('Master Sheet (100 Qs)'!$B$2:$B$101,B21)</f>
        <v>7</v>
      </c>
    </row>
    <row r="22" ht="15.75" customHeight="1">
      <c r="A22" s="4">
        <v>19.0</v>
      </c>
      <c r="B22" s="3" t="s">
        <v>67</v>
      </c>
      <c r="C22" s="4">
        <f>COUNTIF('Master Sheet (100 Qs)'!$B$2:$B$101,B22)</f>
        <v>6</v>
      </c>
    </row>
    <row r="23" ht="15.75" customHeight="1">
      <c r="A23" s="4">
        <v>20.0</v>
      </c>
      <c r="B23" s="3" t="s">
        <v>68</v>
      </c>
      <c r="C23" s="4">
        <f>COUNTIF('Master Sheet (100 Qs)'!$B$2:$B$101,B23)</f>
        <v>2</v>
      </c>
    </row>
    <row r="24" ht="15.75" customHeight="1">
      <c r="A24" s="4">
        <v>21.0</v>
      </c>
      <c r="B24" s="3" t="s">
        <v>71</v>
      </c>
      <c r="C24" s="4">
        <f>COUNTIF('Master Sheet (100 Qs)'!$B$2:$B$101,B24)</f>
        <v>1</v>
      </c>
    </row>
    <row r="25" ht="15.75" customHeight="1">
      <c r="A25" s="4">
        <v>22.0</v>
      </c>
      <c r="B25" s="3" t="s">
        <v>73</v>
      </c>
      <c r="C25" s="4">
        <f>COUNTIF('Master Sheet (100 Qs)'!$B$2:$B$101,B25)</f>
        <v>3</v>
      </c>
    </row>
    <row r="26" ht="15.75" customHeight="1">
      <c r="A26" s="4">
        <v>23.0</v>
      </c>
      <c r="B26" s="3" t="s">
        <v>74</v>
      </c>
      <c r="C26" s="4">
        <f>COUNTIF('Master Sheet (100 Qs)'!$B$2:$B$101,B26)</f>
        <v>2</v>
      </c>
    </row>
    <row r="27" ht="15.75" customHeight="1">
      <c r="A27" s="4">
        <v>24.0</v>
      </c>
      <c r="B27" s="3" t="s">
        <v>77</v>
      </c>
      <c r="C27" s="4">
        <f>COUNTIF('Master Sheet (100 Qs)'!$B$2:$B$101,B27)</f>
        <v>1</v>
      </c>
    </row>
    <row r="28" ht="15.75" customHeight="1">
      <c r="A28" s="4">
        <v>25.0</v>
      </c>
      <c r="B28" s="3" t="s">
        <v>79</v>
      </c>
      <c r="C28" s="4">
        <f>COUNTIF('Master Sheet (100 Qs)'!$B$2:$B$101,B28)</f>
        <v>5</v>
      </c>
    </row>
    <row r="29" ht="15.75" customHeight="1">
      <c r="A29" s="4">
        <v>26.0</v>
      </c>
      <c r="B29" s="3" t="s">
        <v>80</v>
      </c>
      <c r="C29" s="4">
        <f>COUNTIF('Master Sheet (100 Qs)'!$B$2:$B$101,B29)</f>
        <v>4</v>
      </c>
    </row>
    <row r="30" ht="15.75" customHeight="1">
      <c r="A30" s="4">
        <v>27.0</v>
      </c>
      <c r="B30" s="3" t="s">
        <v>81</v>
      </c>
      <c r="C30" s="4">
        <f>COUNTIF('Master Sheet (100 Qs)'!$B$2:$B$101,B30)</f>
        <v>2</v>
      </c>
    </row>
    <row r="31" ht="15.75" customHeight="1">
      <c r="A31" s="4">
        <v>28.0</v>
      </c>
      <c r="B31" s="3" t="s">
        <v>85</v>
      </c>
      <c r="C31" s="4">
        <f>COUNTIF('Master Sheet (100 Qs)'!$B$2:$B$101,B31)</f>
        <v>1</v>
      </c>
    </row>
    <row r="32" ht="15.75" customHeight="1">
      <c r="A32" s="9"/>
      <c r="B32" s="11" t="s">
        <v>32</v>
      </c>
      <c r="C32" s="11">
        <f>SUM(C4:C31)</f>
        <v>100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.0"/>
    <col customWidth="1" min="2" max="3" width="18.0"/>
    <col customWidth="1" min="4" max="26" width="8.71"/>
  </cols>
  <sheetData>
    <row r="1">
      <c r="A1" s="1" t="s">
        <v>2</v>
      </c>
    </row>
    <row r="3">
      <c r="A3" s="2" t="s">
        <v>1</v>
      </c>
      <c r="B3" s="2" t="s">
        <v>6</v>
      </c>
      <c r="C3" s="2" t="s">
        <v>8</v>
      </c>
    </row>
    <row r="4">
      <c r="A4" s="4">
        <v>1.0</v>
      </c>
      <c r="B4" s="5" t="s">
        <v>13</v>
      </c>
      <c r="C4" s="4">
        <f>COUNTIF('Master Sheet (100 Qs)'!$E$2:$E$101,B4)</f>
        <v>48</v>
      </c>
    </row>
    <row r="5">
      <c r="A5" s="4">
        <v>2.0</v>
      </c>
      <c r="B5" s="6" t="s">
        <v>22</v>
      </c>
      <c r="C5" s="4">
        <f>COUNTIF('Master Sheet (100 Qs)'!$E$2:$E$101,B5)</f>
        <v>5</v>
      </c>
    </row>
    <row r="6">
      <c r="A6" s="4">
        <v>3.0</v>
      </c>
      <c r="B6" s="8" t="s">
        <v>28</v>
      </c>
      <c r="C6" s="4">
        <f>COUNTIF('Master Sheet (100 Qs)'!$E$2:$E$101,B6)</f>
        <v>47</v>
      </c>
    </row>
    <row r="7">
      <c r="A7" s="9"/>
      <c r="B7" s="11" t="s">
        <v>32</v>
      </c>
      <c r="C7" s="11">
        <f>SUM(C4:C6)</f>
        <v>100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40.0"/>
    <col customWidth="1" min="3" max="26" width="8.71"/>
  </cols>
  <sheetData>
    <row r="1">
      <c r="A1" s="1" t="s">
        <v>3</v>
      </c>
    </row>
    <row r="3">
      <c r="A3" s="2" t="s">
        <v>4</v>
      </c>
      <c r="B3" s="2" t="s">
        <v>7</v>
      </c>
    </row>
    <row r="4">
      <c r="A4" s="3" t="s">
        <v>10</v>
      </c>
      <c r="B4" s="4">
        <f>COUNTA('Master Sheet (100 Qs)'!A2:A101)</f>
        <v>100</v>
      </c>
    </row>
    <row r="5">
      <c r="A5" s="3" t="s">
        <v>20</v>
      </c>
      <c r="B5" s="4">
        <f>COUNTIF('Master Sheet (100 Qs)'!K2:K101,"Done")</f>
        <v>0</v>
      </c>
    </row>
    <row r="6">
      <c r="A6" s="3" t="s">
        <v>26</v>
      </c>
      <c r="B6" s="4">
        <f>COUNTIF('Master Sheet (100 Qs)'!K2:K101,"In Progress")</f>
        <v>0</v>
      </c>
    </row>
    <row r="7">
      <c r="A7" s="3" t="s">
        <v>29</v>
      </c>
      <c r="B7" s="4">
        <f>COUNTA('Master Sheet (100 Qs)'!A2:A101)-COUNTIF('Master Sheet (100 Qs)'!K2:K101,"Done")-COUNTIF('Master Sheet (100 Qs)'!K2:K101,"In Progress")</f>
        <v>100</v>
      </c>
    </row>
    <row r="8">
      <c r="A8" s="3" t="s">
        <v>33</v>
      </c>
      <c r="B8" s="4">
        <f>ROUND(COUNTIF('Master Sheet (100 Qs)'!K2:K101,"Done")/COUNTA('Master Sheet (100 Qs)'!A2:A101)*100,1)</f>
        <v>0</v>
      </c>
    </row>
    <row r="9">
      <c r="A9" s="3" t="s">
        <v>38</v>
      </c>
      <c r="B9" s="4">
        <f>COUNTIFS('Master Sheet (100 Qs)'!J2:J101,"High",'Master Sheet (100 Qs)'!K2:K101,"Done")</f>
        <v>0</v>
      </c>
    </row>
    <row r="10">
      <c r="A10" s="3" t="s">
        <v>43</v>
      </c>
      <c r="B10" s="4">
        <f>COUNTIF('Master Sheet (100 Qs)'!J2:J101,"High")</f>
        <v>35</v>
      </c>
    </row>
    <row r="13">
      <c r="A13" s="13" t="s">
        <v>45</v>
      </c>
    </row>
    <row r="14">
      <c r="A14" s="13" t="s">
        <v>46</v>
      </c>
    </row>
    <row r="15">
      <c r="A15" s="13" t="s">
        <v>47</v>
      </c>
    </row>
    <row r="16">
      <c r="A16" s="13" t="s">
        <v>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1.0" footer="0.0" header="0.0" left="0.75" right="0.75" top="1.0"/>
  <pageSetup paperSize="9" orientation="portrait"/>
  <drawing r:id="rId1"/>
</worksheet>
</file>