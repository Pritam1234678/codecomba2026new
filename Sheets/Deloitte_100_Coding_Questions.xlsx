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500" firstSheet="0" activeTab="0" autoFilterDateGrouping="1"/>
  </bookViews>
  <sheets>
    <sheet xmlns:r="http://schemas.openxmlformats.org/officeDocument/2006/relationships" name="Master Sheet (100 Qs)" sheetId="1" state="visible" r:id="rId1"/>
    <sheet xmlns:r="http://schemas.openxmlformats.org/officeDocument/2006/relationships" name="Topic-wise Summary" sheetId="2" state="visible" r:id="rId2"/>
    <sheet xmlns:r="http://schemas.openxmlformats.org/officeDocument/2006/relationships" name="Difficulty Distribution" sheetId="3" state="visible" r:id="rId3"/>
    <sheet xmlns:r="http://schemas.openxmlformats.org/officeDocument/2006/relationships" name="Progress Tracker" sheetId="4" state="visible" r:id="rId4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1F4E78"/>
      <sz val="14"/>
    </font>
    <font>
      <name val="Arial"/>
      <b val="1"/>
      <color rgb="FFFFFFFF"/>
      <sz val="11"/>
    </font>
    <font>
      <name val="Arial"/>
      <color theme="1"/>
      <sz val="10"/>
    </font>
    <font>
      <name val="Arial"/>
      <color rgb="FF0563C1"/>
      <sz val="10"/>
      <u val="single"/>
    </font>
    <font>
      <name val="Calibri"/>
      <color theme="1"/>
      <sz val="11"/>
    </font>
    <font>
      <name val="Arial"/>
      <b val="1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contains-duplicate/" TargetMode="External" Id="rId1"/><Relationship Type="http://schemas.openxmlformats.org/officeDocument/2006/relationships/hyperlink" Target="https://leetcode.com/problems/maximum-subarray/" TargetMode="External" Id="rId2"/><Relationship Type="http://schemas.openxmlformats.org/officeDocument/2006/relationships/hyperlink" Target="https://leetcode.com/problems/product-of-array-except-self/" TargetMode="External" Id="rId3"/><Relationship Type="http://schemas.openxmlformats.org/officeDocument/2006/relationships/hyperlink" Target="https://leetcode.com/problems/merge-sorted-array/" TargetMode="External" Id="rId4"/><Relationship Type="http://schemas.openxmlformats.org/officeDocument/2006/relationships/hyperlink" Target="https://leetcode.com/problems/sort-colors/" TargetMode="External" Id="rId5"/><Relationship Type="http://schemas.openxmlformats.org/officeDocument/2006/relationships/hyperlink" Target="https://leetcode.com/problems/missing-number/" TargetMode="External" Id="rId6"/><Relationship Type="http://schemas.openxmlformats.org/officeDocument/2006/relationships/hyperlink" Target="https://www.geeksforgeeks.org/c-program-to-check-armstrong-number/" TargetMode="External" Id="rId7"/><Relationship Type="http://schemas.openxmlformats.org/officeDocument/2006/relationships/hyperlink" Target="https://leetcode.com/problems/valid-anagram/" TargetMode="External" Id="rId8"/><Relationship Type="http://schemas.openxmlformats.org/officeDocument/2006/relationships/hyperlink" Target="https://leetcode.com/problems/valid-palindrome/" TargetMode="External" Id="rId9"/><Relationship Type="http://schemas.openxmlformats.org/officeDocument/2006/relationships/hyperlink" Target="https://leetcode.com/problems/reverse-words-in-a-string/" TargetMode="External" Id="rId10"/><Relationship Type="http://schemas.openxmlformats.org/officeDocument/2006/relationships/hyperlink" Target="https://leetcode.com/problems/longest-substring-without-repeating-characters/" TargetMode="External" Id="rId11"/><Relationship Type="http://schemas.openxmlformats.org/officeDocument/2006/relationships/hyperlink" Target="https://leetcode.com/problems/string-compression/" TargetMode="External" Id="rId12"/><Relationship Type="http://schemas.openxmlformats.org/officeDocument/2006/relationships/hyperlink" Target="https://leetcode.com/problems/roman-to-integer/" TargetMode="External" Id="rId13"/><Relationship Type="http://schemas.openxmlformats.org/officeDocument/2006/relationships/hyperlink" Target="https://www.geeksforgeeks.org/c-program-for-basic-euclidean-algorithms/" TargetMode="External" Id="rId14"/><Relationship Type="http://schemas.openxmlformats.org/officeDocument/2006/relationships/hyperlink" Target="https://leetcode.com/problems/group-anagrams/" TargetMode="External" Id="rId15"/><Relationship Type="http://schemas.openxmlformats.org/officeDocument/2006/relationships/hyperlink" Target="https://leetcode.com/problems/first-unique-character-in-a-string/" TargetMode="External" Id="rId16"/><Relationship Type="http://schemas.openxmlformats.org/officeDocument/2006/relationships/hyperlink" Target="https://leetcode.com/problems/longest-common-prefix/" TargetMode="External" Id="rId17"/><Relationship Type="http://schemas.openxmlformats.org/officeDocument/2006/relationships/hyperlink" Target="https://leetcode.com/problems/majority-element-ii/" TargetMode="External" Id="rId18"/><Relationship Type="http://schemas.openxmlformats.org/officeDocument/2006/relationships/hyperlink" Target="https://leetcode.com/problems/top-k-frequent-elements/" TargetMode="External" Id="rId19"/><Relationship Type="http://schemas.openxmlformats.org/officeDocument/2006/relationships/hyperlink" Target="https://leetcode.com/problems/intersection-of-two-arrays/" TargetMode="External" Id="rId20"/><Relationship Type="http://schemas.openxmlformats.org/officeDocument/2006/relationships/hyperlink" Target="https://leetcode.com/problems/subarray-sum-equals-k/" TargetMode="External" Id="rId21"/><Relationship Type="http://schemas.openxmlformats.org/officeDocument/2006/relationships/hyperlink" Target="https://leetcode.com/problems/longest-consecutive-sequence/" TargetMode="External" Id="rId22"/><Relationship Type="http://schemas.openxmlformats.org/officeDocument/2006/relationships/hyperlink" Target="https://leetcode.com/problems/merge-intervals/" TargetMode="External" Id="rId23"/><Relationship Type="http://schemas.openxmlformats.org/officeDocument/2006/relationships/hyperlink" Target="https://leetcode.com/problems/sort-an-array/" TargetMode="External" Id="rId24"/><Relationship Type="http://schemas.openxmlformats.org/officeDocument/2006/relationships/hyperlink" Target="https://leetcode.com/problems/kth-largest-element-in-an-array/" TargetMode="External" Id="rId25"/><Relationship Type="http://schemas.openxmlformats.org/officeDocument/2006/relationships/hyperlink" Target="https://leetcode.com/problems/meeting-rooms/" TargetMode="External" Id="rId26"/><Relationship Type="http://schemas.openxmlformats.org/officeDocument/2006/relationships/hyperlink" Target="https://leetcode.com/problems/binary-search/" TargetMode="External" Id="rId27"/><Relationship Type="http://schemas.openxmlformats.org/officeDocument/2006/relationships/hyperlink" Target="https://leetcode.com/problems/search-insert-position/" TargetMode="External" Id="rId28"/><Relationship Type="http://schemas.openxmlformats.org/officeDocument/2006/relationships/hyperlink" Target="https://leetcode.com/problems/first-bad-version/" TargetMode="External" Id="rId29"/><Relationship Type="http://schemas.openxmlformats.org/officeDocument/2006/relationships/hyperlink" Target="https://leetcode.com/problems/search-in-rotated-sorted-array/" TargetMode="External" Id="rId30"/><Relationship Type="http://schemas.openxmlformats.org/officeDocument/2006/relationships/hyperlink" Target="https://leetcode.com/problems/find-first-and-last-position-of-element-in-sorted-array/" TargetMode="External" Id="rId31"/><Relationship Type="http://schemas.openxmlformats.org/officeDocument/2006/relationships/hyperlink" Target="https://leetcode.com/problems/3sum/" TargetMode="External" Id="rId32"/><Relationship Type="http://schemas.openxmlformats.org/officeDocument/2006/relationships/hyperlink" Target="https://leetcode.com/problems/container-with-most-water/" TargetMode="External" Id="rId33"/><Relationship Type="http://schemas.openxmlformats.org/officeDocument/2006/relationships/hyperlink" Target="https://leetcode.com/problems/remove-duplicates-from-sorted-array/" TargetMode="External" Id="rId34"/><Relationship Type="http://schemas.openxmlformats.org/officeDocument/2006/relationships/hyperlink" Target="https://www.geeksforgeeks.org/program-to-find-lcm-of-two-numbers/" TargetMode="External" Id="rId35"/><Relationship Type="http://schemas.openxmlformats.org/officeDocument/2006/relationships/hyperlink" Target="https://leetcode.com/problems/maximum-average-subarray-i/" TargetMode="External" Id="rId36"/><Relationship Type="http://schemas.openxmlformats.org/officeDocument/2006/relationships/hyperlink" Target="https://leetcode.com/problems/minimum-size-subarray-sum/" TargetMode="External" Id="rId37"/><Relationship Type="http://schemas.openxmlformats.org/officeDocument/2006/relationships/hyperlink" Target="https://leetcode.com/problems/permutation-in-string/" TargetMode="External" Id="rId38"/><Relationship Type="http://schemas.openxmlformats.org/officeDocument/2006/relationships/hyperlink" Target="https://leetcode.com/problems/range-sum-query-immutable/" TargetMode="External" Id="rId39"/><Relationship Type="http://schemas.openxmlformats.org/officeDocument/2006/relationships/hyperlink" Target="https://leetcode.com/problems/find-pivot-index/" TargetMode="External" Id="rId40"/><Relationship Type="http://schemas.openxmlformats.org/officeDocument/2006/relationships/hyperlink" Target="https://leetcode.com/problems/spiral-matrix/" TargetMode="External" Id="rId41"/><Relationship Type="http://schemas.openxmlformats.org/officeDocument/2006/relationships/hyperlink" Target="https://leetcode.com/problems/rotate-image/" TargetMode="External" Id="rId42"/><Relationship Type="http://schemas.openxmlformats.org/officeDocument/2006/relationships/hyperlink" Target="https://leetcode.com/problems/search-a-2d-matrix/" TargetMode="External" Id="rId43"/><Relationship Type="http://schemas.openxmlformats.org/officeDocument/2006/relationships/hyperlink" Target="https://leetcode.com/problems/set-matrix-zeroes/" TargetMode="External" Id="rId44"/><Relationship Type="http://schemas.openxmlformats.org/officeDocument/2006/relationships/hyperlink" Target="https://leetcode.com/problems/fibonacci-number/" TargetMode="External" Id="rId45"/><Relationship Type="http://schemas.openxmlformats.org/officeDocument/2006/relationships/hyperlink" Target="https://leetcode.com/problems/powx-n/" TargetMode="External" Id="rId46"/><Relationship Type="http://schemas.openxmlformats.org/officeDocument/2006/relationships/hyperlink" Target="https://leetcode.com/problems/add-digits/" TargetMode="External" Id="rId47"/><Relationship Type="http://schemas.openxmlformats.org/officeDocument/2006/relationships/hyperlink" Target="https://leetcode.com/problems/subsets/" TargetMode="External" Id="rId48"/><Relationship Type="http://schemas.openxmlformats.org/officeDocument/2006/relationships/hyperlink" Target="https://leetcode.com/problems/permutations/" TargetMode="External" Id="rId49"/><Relationship Type="http://schemas.openxmlformats.org/officeDocument/2006/relationships/hyperlink" Target="https://leetcode.com/problems/combination-sum/" TargetMode="External" Id="rId50"/><Relationship Type="http://schemas.openxmlformats.org/officeDocument/2006/relationships/hyperlink" Target="https://leetcode.com/problems/valid-parentheses/" TargetMode="External" Id="rId51"/><Relationship Type="http://schemas.openxmlformats.org/officeDocument/2006/relationships/hyperlink" Target="https://leetcode.com/problems/min-stack/" TargetMode="External" Id="rId52"/><Relationship Type="http://schemas.openxmlformats.org/officeDocument/2006/relationships/hyperlink" Target="https://leetcode.com/problems/evaluate-reverse-polish-notation/" TargetMode="External" Id="rId53"/><Relationship Type="http://schemas.openxmlformats.org/officeDocument/2006/relationships/hyperlink" Target="https://leetcode.com/problems/daily-temperatures/" TargetMode="External" Id="rId54"/><Relationship Type="http://schemas.openxmlformats.org/officeDocument/2006/relationships/hyperlink" Target="https://leetcode.com/problems/simplify-path/" TargetMode="External" Id="rId55"/><Relationship Type="http://schemas.openxmlformats.org/officeDocument/2006/relationships/hyperlink" Target="https://leetcode.com/problems/implement-queue-using-stacks/" TargetMode="External" Id="rId56"/><Relationship Type="http://schemas.openxmlformats.org/officeDocument/2006/relationships/hyperlink" Target="https://www.geeksforgeeks.org/prime-factor/" TargetMode="External" Id="rId57"/><Relationship Type="http://schemas.openxmlformats.org/officeDocument/2006/relationships/hyperlink" Target="https://leetcode.com/problems/sliding-window-maximum/" TargetMode="External" Id="rId58"/><Relationship Type="http://schemas.openxmlformats.org/officeDocument/2006/relationships/hyperlink" Target="https://leetcode.com/problems/reverse-linked-list/" TargetMode="External" Id="rId59"/><Relationship Type="http://schemas.openxmlformats.org/officeDocument/2006/relationships/hyperlink" Target="https://leetcode.com/problems/middle-of-the-linked-list/" TargetMode="External" Id="rId60"/><Relationship Type="http://schemas.openxmlformats.org/officeDocument/2006/relationships/hyperlink" Target="https://leetcode.com/problems/linked-list-cycle/" TargetMode="External" Id="rId61"/><Relationship Type="http://schemas.openxmlformats.org/officeDocument/2006/relationships/hyperlink" Target="https://leetcode.com/problems/merge-two-sorted-lists/" TargetMode="External" Id="rId62"/><Relationship Type="http://schemas.openxmlformats.org/officeDocument/2006/relationships/hyperlink" Target="https://leetcode.com/problems/remove-nth-node-from-end-of-list/" TargetMode="External" Id="rId63"/><Relationship Type="http://schemas.openxmlformats.org/officeDocument/2006/relationships/hyperlink" Target="https://leetcode.com/problems/palindrome-linked-list/" TargetMode="External" Id="rId64"/><Relationship Type="http://schemas.openxmlformats.org/officeDocument/2006/relationships/hyperlink" Target="https://leetcode.com/problems/intersection-of-two-linked-lists/" TargetMode="External" Id="rId65"/><Relationship Type="http://schemas.openxmlformats.org/officeDocument/2006/relationships/hyperlink" Target="https://leetcode.com/problems/maximum-depth-of-binary-tree/" TargetMode="External" Id="rId66"/><Relationship Type="http://schemas.openxmlformats.org/officeDocument/2006/relationships/hyperlink" Target="https://leetcode.com/problems/binary-tree-level-order-traversal/" TargetMode="External" Id="rId67"/><Relationship Type="http://schemas.openxmlformats.org/officeDocument/2006/relationships/hyperlink" Target="https://leetcode.com/problems/diameter-of-binary-tree/" TargetMode="External" Id="rId68"/><Relationship Type="http://schemas.openxmlformats.org/officeDocument/2006/relationships/hyperlink" Target="https://leetcode.com/problems/invert-binary-tree/" TargetMode="External" Id="rId69"/><Relationship Type="http://schemas.openxmlformats.org/officeDocument/2006/relationships/hyperlink" Target="https://leetcode.com/problems/symmetric-tree/" TargetMode="External" Id="rId70"/><Relationship Type="http://schemas.openxmlformats.org/officeDocument/2006/relationships/hyperlink" Target="https://leetcode.com/problems/path-sum/" TargetMode="External" Id="rId71"/><Relationship Type="http://schemas.openxmlformats.org/officeDocument/2006/relationships/hyperlink" Target="https://leetcode.com/problems/validate-binary-search-tree/" TargetMode="External" Id="rId72"/><Relationship Type="http://schemas.openxmlformats.org/officeDocument/2006/relationships/hyperlink" Target="https://leetcode.com/problems/lowest-common-ancestor-of-a-binary-search-tree/" TargetMode="External" Id="rId73"/><Relationship Type="http://schemas.openxmlformats.org/officeDocument/2006/relationships/hyperlink" Target="https://www.geeksforgeeks.org/printing-patterns-using-loops/" TargetMode="External" Id="rId74"/><Relationship Type="http://schemas.openxmlformats.org/officeDocument/2006/relationships/hyperlink" Target="https://leetcode.com/problems/kth-largest-element-in-a-stream/" TargetMode="External" Id="rId75"/><Relationship Type="http://schemas.openxmlformats.org/officeDocument/2006/relationships/hyperlink" Target="https://leetcode.com/problems/merge-k-sorted-lists/" TargetMode="External" Id="rId76"/><Relationship Type="http://schemas.openxmlformats.org/officeDocument/2006/relationships/hyperlink" Target="https://leetcode.com/problems/top-k-frequent-words/" TargetMode="External" Id="rId77"/><Relationship Type="http://schemas.openxmlformats.org/officeDocument/2006/relationships/hyperlink" Target="https://leetcode.com/problems/jump-game/" TargetMode="External" Id="rId78"/><Relationship Type="http://schemas.openxmlformats.org/officeDocument/2006/relationships/hyperlink" Target="https://leetcode.com/problems/non-overlapping-intervals/" TargetMode="External" Id="rId79"/><Relationship Type="http://schemas.openxmlformats.org/officeDocument/2006/relationships/hyperlink" Target="https://leetcode.com/problems/robot-return-to-origin/" TargetMode="External" Id="rId80"/><Relationship Type="http://schemas.openxmlformats.org/officeDocument/2006/relationships/hyperlink" Target="https://leetcode.com/problems/climbing-stairs/" TargetMode="External" Id="rId81"/><Relationship Type="http://schemas.openxmlformats.org/officeDocument/2006/relationships/hyperlink" Target="https://leetcode.com/problems/house-robber/" TargetMode="External" Id="rId82"/><Relationship Type="http://schemas.openxmlformats.org/officeDocument/2006/relationships/hyperlink" Target="https://leetcode.com/problems/coin-change/" TargetMode="External" Id="rId83"/><Relationship Type="http://schemas.openxmlformats.org/officeDocument/2006/relationships/hyperlink" Target="https://leetcode.com/problems/longest-increasing-subsequence/" TargetMode="External" Id="rId84"/><Relationship Type="http://schemas.openxmlformats.org/officeDocument/2006/relationships/hyperlink" Target="https://leetcode.com/problems/unique-paths/" TargetMode="External" Id="rId85"/><Relationship Type="http://schemas.openxmlformats.org/officeDocument/2006/relationships/hyperlink" Target="https://leetcode.com/problems/flood-fill/" TargetMode="External" Id="rId86"/><Relationship Type="http://schemas.openxmlformats.org/officeDocument/2006/relationships/hyperlink" Target="https://leetcode.com/problems/number-of-islands/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topLeftCell="A1" workbookViewId="0">
      <pane ySplit="1" topLeftCell="A6" activePane="bottomLeft" state="frozen"/>
      <selection pane="bottomLeft" activeCell="B3" sqref="B3"/>
    </sheetView>
  </sheetViews>
  <sheetFormatPr baseColWidth="8" defaultColWidth="14.421875" defaultRowHeight="15" customHeight="1"/>
  <cols>
    <col width="6.00390625" customWidth="1" style="18" min="1" max="1"/>
    <col width="20.00390625" customWidth="1" style="18" min="2" max="2"/>
    <col width="24.00390625" customWidth="1" style="18" min="3" max="3"/>
    <col width="42.00390625" customWidth="1" style="18" min="4" max="4"/>
    <col width="13.00390625" customWidth="1" style="18" min="5" max="5"/>
    <col width="14.00390625" customWidth="1" style="18" min="6" max="6"/>
    <col width="48.00390625" customWidth="1" style="18" min="7" max="7"/>
    <col width="16.00390625" customWidth="1" style="18" min="8" max="9"/>
    <col width="12.00390625" customWidth="1" style="18" min="10" max="10"/>
    <col width="10.00390625" customWidth="1" style="18" min="11" max="11"/>
    <col width="8.7109375" customWidth="1" style="18" min="12" max="26"/>
  </cols>
  <sheetData>
    <row r="1" ht="30" customHeight="1" s="18">
      <c r="A1" s="1" t="inlineStr">
        <is>
          <t>S.No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Question Name</t>
        </is>
      </c>
      <c r="E1" s="1" t="inlineStr">
        <is>
          <t>Difficulty</t>
        </is>
      </c>
      <c r="F1" s="1" t="inlineStr">
        <is>
          <t>Platform</t>
        </is>
      </c>
      <c r="G1" s="1" t="inlineStr">
        <is>
          <t>Direct Practice Link</t>
        </is>
      </c>
      <c r="H1" s="1" t="inlineStr">
        <is>
          <t>Asked in Deloitte?</t>
        </is>
      </c>
      <c r="I1" s="1" t="inlineStr">
        <is>
          <t>Similar to Deloitte?</t>
        </is>
      </c>
      <c r="J1" s="1" t="inlineStr">
        <is>
          <t>Importance</t>
        </is>
      </c>
      <c r="K1" s="1" t="inlineStr">
        <is>
          <t>Status</t>
        </is>
      </c>
    </row>
    <row r="2" ht="15" customHeight="1" s="18">
      <c r="A2" s="2" t="n">
        <v>1</v>
      </c>
      <c r="B2" s="3" t="inlineStr">
        <is>
          <t>Arrays</t>
        </is>
      </c>
      <c r="C2" s="3" t="inlineStr">
        <is>
          <t>Basic</t>
        </is>
      </c>
      <c r="D2" s="3" t="inlineStr">
        <is>
          <t>Contains Duplicate</t>
        </is>
      </c>
      <c r="E2" s="4" t="inlineStr">
        <is>
          <t>Easy</t>
        </is>
      </c>
      <c r="F2" s="2" t="inlineStr">
        <is>
          <t>LeetCode</t>
        </is>
      </c>
      <c r="G2" s="5" t="inlineStr">
        <is>
          <t>https://leetcode.com/problems/contains-duplicate/</t>
        </is>
      </c>
      <c r="H2" s="2" t="inlineStr">
        <is>
          <t>Community Report</t>
        </is>
      </c>
      <c r="I2" s="2" t="inlineStr">
        <is>
          <t>Yes</t>
        </is>
      </c>
      <c r="J2" s="6" t="inlineStr">
        <is>
          <t>High</t>
        </is>
      </c>
      <c r="K2" s="2" t="n"/>
    </row>
    <row r="3" ht="15" customHeight="1" s="18">
      <c r="A3" s="2" t="n">
        <v>2</v>
      </c>
      <c r="B3" s="3" t="inlineStr">
        <is>
          <t>Arrays</t>
        </is>
      </c>
      <c r="C3" s="3" t="inlineStr">
        <is>
          <t>Kadane's Algorithm</t>
        </is>
      </c>
      <c r="D3" s="3" t="inlineStr">
        <is>
          <t>Maximum Subarray</t>
        </is>
      </c>
      <c r="E3" s="9" t="inlineStr">
        <is>
          <t>Easy-Medium</t>
        </is>
      </c>
      <c r="F3" s="2" t="inlineStr">
        <is>
          <t>LeetCode</t>
        </is>
      </c>
      <c r="G3" s="5" t="inlineStr">
        <is>
          <t>https://leetcode.com/problems/maximum-subarray/</t>
        </is>
      </c>
      <c r="H3" s="2" t="inlineStr">
        <is>
          <t>Community Report</t>
        </is>
      </c>
      <c r="I3" s="2" t="inlineStr">
        <is>
          <t>Yes</t>
        </is>
      </c>
      <c r="J3" s="6" t="inlineStr">
        <is>
          <t>High</t>
        </is>
      </c>
      <c r="K3" s="2" t="n"/>
    </row>
    <row r="4" ht="15" customHeight="1" s="18">
      <c r="A4" s="2" t="n">
        <v>3</v>
      </c>
      <c r="B4" s="3" t="inlineStr">
        <is>
          <t>Arrays</t>
        </is>
      </c>
      <c r="C4" s="3" t="inlineStr">
        <is>
          <t>Prefix Product</t>
        </is>
      </c>
      <c r="D4" s="3" t="inlineStr">
        <is>
          <t>Product of Array Except Self</t>
        </is>
      </c>
      <c r="E4" s="8" t="inlineStr">
        <is>
          <t>Medium</t>
        </is>
      </c>
      <c r="F4" s="2" t="inlineStr">
        <is>
          <t>LeetCode</t>
        </is>
      </c>
      <c r="G4" s="5" t="inlineStr">
        <is>
          <t>https://leetcode.com/problems/product-of-array-except-self/</t>
        </is>
      </c>
      <c r="H4" s="2" t="inlineStr">
        <is>
          <t>Similar</t>
        </is>
      </c>
      <c r="I4" s="2" t="inlineStr">
        <is>
          <t>Yes</t>
        </is>
      </c>
      <c r="J4" s="7" t="inlineStr">
        <is>
          <t>Medium</t>
        </is>
      </c>
      <c r="K4" s="2" t="n"/>
    </row>
    <row r="5" ht="15" customHeight="1" s="18">
      <c r="A5" s="2" t="n">
        <v>4</v>
      </c>
      <c r="B5" s="3" t="inlineStr">
        <is>
          <t>Arrays</t>
        </is>
      </c>
      <c r="C5" s="3" t="inlineStr">
        <is>
          <t>Merging</t>
        </is>
      </c>
      <c r="D5" s="3" t="inlineStr">
        <is>
          <t>Merge Sorted Array</t>
        </is>
      </c>
      <c r="E5" s="4" t="inlineStr">
        <is>
          <t>Easy</t>
        </is>
      </c>
      <c r="F5" s="2" t="inlineStr">
        <is>
          <t>LeetCode</t>
        </is>
      </c>
      <c r="G5" s="5" t="inlineStr">
        <is>
          <t>https://leetcode.com/problems/merge-sorted-array/</t>
        </is>
      </c>
      <c r="H5" s="2" t="inlineStr">
        <is>
          <t>Similar</t>
        </is>
      </c>
      <c r="I5" s="2" t="inlineStr">
        <is>
          <t>Yes</t>
        </is>
      </c>
      <c r="J5" s="7" t="inlineStr">
        <is>
          <t>Medium</t>
        </is>
      </c>
      <c r="K5" s="2" t="n"/>
    </row>
    <row r="6" ht="15" customHeight="1" s="18">
      <c r="A6" s="2" t="n">
        <v>5</v>
      </c>
      <c r="B6" s="3" t="inlineStr">
        <is>
          <t>Arrays</t>
        </is>
      </c>
      <c r="C6" s="3" t="inlineStr">
        <is>
          <t>Missing Element</t>
        </is>
      </c>
      <c r="D6" s="3" t="inlineStr">
        <is>
          <t>Missing Number</t>
        </is>
      </c>
      <c r="E6" s="4" t="inlineStr">
        <is>
          <t>Easy</t>
        </is>
      </c>
      <c r="F6" s="2" t="inlineStr">
        <is>
          <t>LeetCode</t>
        </is>
      </c>
      <c r="G6" s="5" t="inlineStr">
        <is>
          <t>https://leetcode.com/problems/missing-number/</t>
        </is>
      </c>
      <c r="H6" s="2" t="inlineStr">
        <is>
          <t>Community Report</t>
        </is>
      </c>
      <c r="I6" s="2" t="inlineStr">
        <is>
          <t>Yes</t>
        </is>
      </c>
      <c r="J6" s="6" t="inlineStr">
        <is>
          <t>High</t>
        </is>
      </c>
      <c r="K6" s="2" t="n"/>
    </row>
    <row r="7" ht="15" customHeight="1" s="18">
      <c r="A7" s="2" t="n">
        <v>6</v>
      </c>
      <c r="B7" s="3" t="inlineStr">
        <is>
          <t>Mathematics</t>
        </is>
      </c>
      <c r="C7" s="3" t="inlineStr">
        <is>
          <t>Digit Manipulation</t>
        </is>
      </c>
      <c r="D7" s="3" t="inlineStr">
        <is>
          <t>Armstrong Number</t>
        </is>
      </c>
      <c r="E7" s="4" t="inlineStr">
        <is>
          <t>Easy</t>
        </is>
      </c>
      <c r="F7" s="2" t="inlineStr">
        <is>
          <t>GeeksforGeeks</t>
        </is>
      </c>
      <c r="G7" s="5" t="inlineStr">
        <is>
          <t>https://www.geeksforgeeks.org/c-program-to-check-armstrong-number/</t>
        </is>
      </c>
      <c r="H7" s="2" t="inlineStr">
        <is>
          <t>Community Report</t>
        </is>
      </c>
      <c r="I7" s="2" t="inlineStr">
        <is>
          <t>Yes</t>
        </is>
      </c>
      <c r="J7" s="6" t="inlineStr">
        <is>
          <t>High</t>
        </is>
      </c>
      <c r="K7" s="2" t="n"/>
    </row>
    <row r="8" ht="15" customHeight="1" s="18">
      <c r="A8" s="2" t="n">
        <v>7</v>
      </c>
      <c r="B8" s="3" t="inlineStr">
        <is>
          <t>Strings</t>
        </is>
      </c>
      <c r="C8" s="3" t="inlineStr">
        <is>
          <t>Anagram</t>
        </is>
      </c>
      <c r="D8" s="3" t="inlineStr">
        <is>
          <t>Valid Anagram</t>
        </is>
      </c>
      <c r="E8" s="4" t="inlineStr">
        <is>
          <t>Easy</t>
        </is>
      </c>
      <c r="F8" s="2" t="inlineStr">
        <is>
          <t>LeetCode</t>
        </is>
      </c>
      <c r="G8" s="5" t="inlineStr">
        <is>
          <t>https://leetcode.com/problems/valid-anagram/</t>
        </is>
      </c>
      <c r="H8" s="2" t="inlineStr">
        <is>
          <t>Community Report</t>
        </is>
      </c>
      <c r="I8" s="2" t="inlineStr">
        <is>
          <t>Yes</t>
        </is>
      </c>
      <c r="J8" s="6" t="inlineStr">
        <is>
          <t>High</t>
        </is>
      </c>
      <c r="K8" s="2" t="n"/>
    </row>
    <row r="9" ht="15" customHeight="1" s="18">
      <c r="A9" s="2" t="n">
        <v>8</v>
      </c>
      <c r="B9" s="3" t="inlineStr">
        <is>
          <t>Strings</t>
        </is>
      </c>
      <c r="C9" s="3" t="inlineStr">
        <is>
          <t>Palindrome</t>
        </is>
      </c>
      <c r="D9" s="3" t="inlineStr">
        <is>
          <t>Valid Palindrome</t>
        </is>
      </c>
      <c r="E9" s="4" t="inlineStr">
        <is>
          <t>Easy</t>
        </is>
      </c>
      <c r="F9" s="2" t="inlineStr">
        <is>
          <t>LeetCode</t>
        </is>
      </c>
      <c r="G9" s="5" t="inlineStr">
        <is>
          <t>https://leetcode.com/problems/valid-palindrome/</t>
        </is>
      </c>
      <c r="H9" s="2" t="inlineStr">
        <is>
          <t>Community Report</t>
        </is>
      </c>
      <c r="I9" s="2" t="inlineStr">
        <is>
          <t>Yes</t>
        </is>
      </c>
      <c r="J9" s="6" t="inlineStr">
        <is>
          <t>High</t>
        </is>
      </c>
      <c r="K9" s="2" t="n"/>
    </row>
    <row r="10" ht="15" customHeight="1" s="18">
      <c r="A10" s="2" t="n">
        <v>9</v>
      </c>
      <c r="B10" s="3" t="inlineStr">
        <is>
          <t>Strings</t>
        </is>
      </c>
      <c r="C10" s="3" t="inlineStr">
        <is>
          <t>Reversal</t>
        </is>
      </c>
      <c r="D10" s="3" t="inlineStr">
        <is>
          <t>Reverse Words in a String</t>
        </is>
      </c>
      <c r="E10" s="8" t="inlineStr">
        <is>
          <t>Medium</t>
        </is>
      </c>
      <c r="F10" s="2" t="inlineStr">
        <is>
          <t>LeetCode</t>
        </is>
      </c>
      <c r="G10" s="5" t="inlineStr">
        <is>
          <t>https://leetcode.com/problems/reverse-words-in-a-string/</t>
        </is>
      </c>
      <c r="H10" s="2" t="inlineStr">
        <is>
          <t>Similar</t>
        </is>
      </c>
      <c r="I10" s="2" t="inlineStr">
        <is>
          <t>Yes</t>
        </is>
      </c>
      <c r="J10" s="7" t="inlineStr">
        <is>
          <t>Medium</t>
        </is>
      </c>
      <c r="K10" s="2" t="n"/>
    </row>
    <row r="11" ht="15" customHeight="1" s="18">
      <c r="A11" s="2" t="n">
        <v>10</v>
      </c>
      <c r="B11" s="3" t="inlineStr">
        <is>
          <t>Strings</t>
        </is>
      </c>
      <c r="C11" s="3" t="inlineStr">
        <is>
          <t>Sliding Window</t>
        </is>
      </c>
      <c r="D11" s="3" t="inlineStr">
        <is>
          <t>Longest Substring Without Repeating Characters</t>
        </is>
      </c>
      <c r="E11" s="8" t="inlineStr">
        <is>
          <t>Medium</t>
        </is>
      </c>
      <c r="F11" s="2" t="inlineStr">
        <is>
          <t>LeetCode</t>
        </is>
      </c>
      <c r="G11" s="5" t="inlineStr">
        <is>
          <t>https://leetcode.com/problems/longest-substring-without-repeating-characters/</t>
        </is>
      </c>
      <c r="H11" s="2" t="inlineStr">
        <is>
          <t>Community Report</t>
        </is>
      </c>
      <c r="I11" s="2" t="inlineStr">
        <is>
          <t>Yes</t>
        </is>
      </c>
      <c r="J11" s="6" t="inlineStr">
        <is>
          <t>High</t>
        </is>
      </c>
      <c r="K11" s="2" t="n"/>
    </row>
    <row r="12" ht="15" customHeight="1" s="18">
      <c r="A12" s="2" t="n">
        <v>11</v>
      </c>
      <c r="B12" s="3" t="inlineStr">
        <is>
          <t>Strings</t>
        </is>
      </c>
      <c r="C12" s="3" t="inlineStr">
        <is>
          <t>Compression</t>
        </is>
      </c>
      <c r="D12" s="3" t="inlineStr">
        <is>
          <t>String Compression</t>
        </is>
      </c>
      <c r="E12" s="8" t="inlineStr">
        <is>
          <t>Medium</t>
        </is>
      </c>
      <c r="F12" s="2" t="inlineStr">
        <is>
          <t>LeetCode</t>
        </is>
      </c>
      <c r="G12" s="5" t="inlineStr">
        <is>
          <t>https://leetcode.com/problems/string-compression/</t>
        </is>
      </c>
      <c r="H12" s="2" t="inlineStr">
        <is>
          <t>Similar</t>
        </is>
      </c>
      <c r="I12" s="2" t="inlineStr">
        <is>
          <t>Yes</t>
        </is>
      </c>
      <c r="J12" s="7" t="inlineStr">
        <is>
          <t>Medium</t>
        </is>
      </c>
      <c r="K12" s="2" t="n"/>
    </row>
    <row r="13" ht="15" customHeight="1" s="18">
      <c r="A13" s="2" t="n">
        <v>12</v>
      </c>
      <c r="B13" s="3" t="inlineStr">
        <is>
          <t>Strings</t>
        </is>
      </c>
      <c r="C13" s="3" t="inlineStr">
        <is>
          <t>Parsing</t>
        </is>
      </c>
      <c r="D13" s="3" t="inlineStr">
        <is>
          <t>Roman to Integer</t>
        </is>
      </c>
      <c r="E13" s="4" t="inlineStr">
        <is>
          <t>Easy</t>
        </is>
      </c>
      <c r="F13" s="2" t="inlineStr">
        <is>
          <t>LeetCode</t>
        </is>
      </c>
      <c r="G13" s="5" t="inlineStr">
        <is>
          <t>https://leetcode.com/problems/roman-to-integer/</t>
        </is>
      </c>
      <c r="H13" s="2" t="inlineStr">
        <is>
          <t>Similar</t>
        </is>
      </c>
      <c r="I13" s="2" t="inlineStr">
        <is>
          <t>Yes</t>
        </is>
      </c>
      <c r="J13" s="7" t="inlineStr">
        <is>
          <t>Medium</t>
        </is>
      </c>
      <c r="K13" s="2" t="n"/>
    </row>
    <row r="14" ht="15" customHeight="1" s="18">
      <c r="A14" s="2" t="n">
        <v>13</v>
      </c>
      <c r="B14" s="3" t="inlineStr">
        <is>
          <t>Number Theory</t>
        </is>
      </c>
      <c r="C14" s="3" t="inlineStr">
        <is>
          <t>GCD</t>
        </is>
      </c>
      <c r="D14" s="3" t="inlineStr">
        <is>
          <t>GCD of Two Numbers (Euclidean Algorithm)</t>
        </is>
      </c>
      <c r="E14" s="4" t="inlineStr">
        <is>
          <t>Easy</t>
        </is>
      </c>
      <c r="F14" s="2" t="inlineStr">
        <is>
          <t>GeeksforGeeks</t>
        </is>
      </c>
      <c r="G14" s="5" t="inlineStr">
        <is>
          <t>https://www.geeksforgeeks.org/c-program-for-basic-euclidean-algorithms/</t>
        </is>
      </c>
      <c r="H14" s="2" t="inlineStr">
        <is>
          <t>Community Report</t>
        </is>
      </c>
      <c r="I14" s="2" t="inlineStr">
        <is>
          <t>Yes</t>
        </is>
      </c>
      <c r="J14" s="6" t="inlineStr">
        <is>
          <t>High</t>
        </is>
      </c>
      <c r="K14" s="2" t="n"/>
    </row>
    <row r="15" ht="15" customHeight="1" s="18">
      <c r="A15" s="2" t="n">
        <v>14</v>
      </c>
      <c r="B15" s="3" t="inlineStr">
        <is>
          <t>Strings</t>
        </is>
      </c>
      <c r="C15" s="3" t="inlineStr">
        <is>
          <t>Grouping</t>
        </is>
      </c>
      <c r="D15" s="3" t="inlineStr">
        <is>
          <t>Group Anagrams</t>
        </is>
      </c>
      <c r="E15" s="8" t="inlineStr">
        <is>
          <t>Medium</t>
        </is>
      </c>
      <c r="F15" s="2" t="inlineStr">
        <is>
          <t>LeetCode</t>
        </is>
      </c>
      <c r="G15" s="5" t="inlineStr">
        <is>
          <t>https://leetcode.com/problems/group-anagrams/</t>
        </is>
      </c>
      <c r="H15" s="2" t="inlineStr">
        <is>
          <t>Similar</t>
        </is>
      </c>
      <c r="I15" s="2" t="inlineStr">
        <is>
          <t>Yes</t>
        </is>
      </c>
      <c r="J15" s="7" t="inlineStr">
        <is>
          <t>Medium</t>
        </is>
      </c>
      <c r="K15" s="2" t="n"/>
    </row>
    <row r="16" ht="15" customHeight="1" s="18">
      <c r="A16" s="2" t="n">
        <v>15</v>
      </c>
      <c r="B16" s="3" t="inlineStr">
        <is>
          <t>Strings</t>
        </is>
      </c>
      <c r="C16" s="3" t="inlineStr">
        <is>
          <t>Counting</t>
        </is>
      </c>
      <c r="D16" s="3" t="inlineStr">
        <is>
          <t>First Unique Character in a String</t>
        </is>
      </c>
      <c r="E16" s="4" t="inlineStr">
        <is>
          <t>Easy</t>
        </is>
      </c>
      <c r="F16" s="2" t="inlineStr">
        <is>
          <t>LeetCode</t>
        </is>
      </c>
      <c r="G16" s="5" t="inlineStr">
        <is>
          <t>https://leetcode.com/problems/first-unique-character-in-a-string/</t>
        </is>
      </c>
      <c r="H16" s="2" t="inlineStr">
        <is>
          <t>Similar</t>
        </is>
      </c>
      <c r="I16" s="2" t="inlineStr">
        <is>
          <t>Yes</t>
        </is>
      </c>
      <c r="J16" s="7" t="inlineStr">
        <is>
          <t>Medium</t>
        </is>
      </c>
      <c r="K16" s="2" t="n"/>
    </row>
    <row r="17" ht="15" customHeight="1" s="18">
      <c r="A17" s="2" t="n">
        <v>16</v>
      </c>
      <c r="B17" s="3" t="inlineStr">
        <is>
          <t>Strings</t>
        </is>
      </c>
      <c r="C17" s="3" t="inlineStr">
        <is>
          <t>Basic</t>
        </is>
      </c>
      <c r="D17" s="3" t="inlineStr">
        <is>
          <t>Longest Common Prefix</t>
        </is>
      </c>
      <c r="E17" s="4" t="inlineStr">
        <is>
          <t>Easy</t>
        </is>
      </c>
      <c r="F17" s="2" t="inlineStr">
        <is>
          <t>LeetCode</t>
        </is>
      </c>
      <c r="G17" s="5" t="inlineStr">
        <is>
          <t>https://leetcode.com/problems/longest-common-prefix/</t>
        </is>
      </c>
      <c r="H17" s="2" t="inlineStr">
        <is>
          <t>Similar</t>
        </is>
      </c>
      <c r="I17" s="2" t="inlineStr">
        <is>
          <t>Yes</t>
        </is>
      </c>
      <c r="J17" s="7" t="inlineStr">
        <is>
          <t>Medium</t>
        </is>
      </c>
      <c r="K17" s="2" t="n"/>
    </row>
    <row r="18" ht="15" customHeight="1" s="18">
      <c r="A18" s="2" t="n">
        <v>17</v>
      </c>
      <c r="B18" s="3" t="inlineStr">
        <is>
          <t>Frequency Counting</t>
        </is>
      </c>
      <c r="C18" s="3" t="inlineStr">
        <is>
          <t>Frequency Map</t>
        </is>
      </c>
      <c r="D18" s="3" t="inlineStr">
        <is>
          <t>Majority Element II</t>
        </is>
      </c>
      <c r="E18" s="8" t="inlineStr">
        <is>
          <t>Medium</t>
        </is>
      </c>
      <c r="F18" s="2" t="inlineStr">
        <is>
          <t>LeetCode</t>
        </is>
      </c>
      <c r="G18" s="5" t="inlineStr">
        <is>
          <t>https://leetcode.com/problems/majority-element-ii/</t>
        </is>
      </c>
      <c r="H18" s="2" t="inlineStr">
        <is>
          <t>Similar</t>
        </is>
      </c>
      <c r="I18" s="2" t="inlineStr">
        <is>
          <t>Yes</t>
        </is>
      </c>
      <c r="J18" s="7" t="inlineStr">
        <is>
          <t>Medium</t>
        </is>
      </c>
      <c r="K18" s="2" t="n"/>
    </row>
    <row r="19" ht="15" customHeight="1" s="18">
      <c r="A19" s="2" t="n">
        <v>18</v>
      </c>
      <c r="B19" s="3" t="inlineStr">
        <is>
          <t>HashMap / HashSet</t>
        </is>
      </c>
      <c r="C19" s="3" t="inlineStr">
        <is>
          <t>Frequency</t>
        </is>
      </c>
      <c r="D19" s="3" t="inlineStr">
        <is>
          <t>Top K Frequent Elements</t>
        </is>
      </c>
      <c r="E19" s="8" t="inlineStr">
        <is>
          <t>Medium</t>
        </is>
      </c>
      <c r="F19" s="2" t="inlineStr">
        <is>
          <t>LeetCode</t>
        </is>
      </c>
      <c r="G19" s="5" t="inlineStr">
        <is>
          <t>https://leetcode.com/problems/top-k-frequent-elements/</t>
        </is>
      </c>
      <c r="H19" s="2" t="inlineStr">
        <is>
          <t>Similar</t>
        </is>
      </c>
      <c r="I19" s="2" t="inlineStr">
        <is>
          <t>Yes</t>
        </is>
      </c>
      <c r="J19" s="7" t="inlineStr">
        <is>
          <t>Medium</t>
        </is>
      </c>
      <c r="K19" s="2" t="n"/>
    </row>
    <row r="20" ht="15" customHeight="1" s="18">
      <c r="A20" s="2" t="n">
        <v>19</v>
      </c>
      <c r="B20" s="3" t="inlineStr">
        <is>
          <t>HashMap / HashSet</t>
        </is>
      </c>
      <c r="C20" s="3" t="inlineStr">
        <is>
          <t>Set Operations</t>
        </is>
      </c>
      <c r="D20" s="3" t="inlineStr">
        <is>
          <t>Intersection of Two Arrays</t>
        </is>
      </c>
      <c r="E20" s="4" t="inlineStr">
        <is>
          <t>Easy</t>
        </is>
      </c>
      <c r="F20" s="2" t="inlineStr">
        <is>
          <t>LeetCode</t>
        </is>
      </c>
      <c r="G20" s="5" t="inlineStr">
        <is>
          <t>https://leetcode.com/problems/intersection-of-two-arrays/</t>
        </is>
      </c>
      <c r="H20" s="2" t="inlineStr">
        <is>
          <t>Similar</t>
        </is>
      </c>
      <c r="I20" s="2" t="inlineStr">
        <is>
          <t>Yes</t>
        </is>
      </c>
      <c r="J20" s="7" t="inlineStr">
        <is>
          <t>Medium</t>
        </is>
      </c>
      <c r="K20" s="2" t="n"/>
    </row>
    <row r="21" ht="15.75" customHeight="1" s="18">
      <c r="A21" s="2" t="n">
        <v>20</v>
      </c>
      <c r="B21" s="3" t="inlineStr">
        <is>
          <t>HashMap / HashSet</t>
        </is>
      </c>
      <c r="C21" s="3" t="inlineStr">
        <is>
          <t>Subarray</t>
        </is>
      </c>
      <c r="D21" s="3" t="inlineStr">
        <is>
          <t>Subarray Sum Equals K</t>
        </is>
      </c>
      <c r="E21" s="8" t="inlineStr">
        <is>
          <t>Medium</t>
        </is>
      </c>
      <c r="F21" s="2" t="inlineStr">
        <is>
          <t>LeetCode</t>
        </is>
      </c>
      <c r="G21" s="5" t="inlineStr">
        <is>
          <t>https://leetcode.com/problems/subarray-sum-equals-k/</t>
        </is>
      </c>
      <c r="H21" s="2" t="inlineStr">
        <is>
          <t>Community Report</t>
        </is>
      </c>
      <c r="I21" s="2" t="inlineStr">
        <is>
          <t>Yes</t>
        </is>
      </c>
      <c r="J21" s="6" t="inlineStr">
        <is>
          <t>High</t>
        </is>
      </c>
      <c r="K21" s="2" t="n"/>
    </row>
    <row r="22" ht="15.75" customHeight="1" s="18">
      <c r="A22" s="2" t="n">
        <v>21</v>
      </c>
      <c r="B22" s="3" t="inlineStr">
        <is>
          <t>HashMap / HashSet</t>
        </is>
      </c>
      <c r="C22" s="3" t="inlineStr">
        <is>
          <t>Sequence</t>
        </is>
      </c>
      <c r="D22" s="3" t="inlineStr">
        <is>
          <t>Longest Consecutive Sequence</t>
        </is>
      </c>
      <c r="E22" s="8" t="inlineStr">
        <is>
          <t>Medium</t>
        </is>
      </c>
      <c r="F22" s="2" t="inlineStr">
        <is>
          <t>LeetCode</t>
        </is>
      </c>
      <c r="G22" s="5" t="inlineStr">
        <is>
          <t>https://leetcode.com/problems/longest-consecutive-sequence/</t>
        </is>
      </c>
      <c r="H22" s="2" t="inlineStr">
        <is>
          <t>Similar</t>
        </is>
      </c>
      <c r="I22" s="2" t="inlineStr">
        <is>
          <t>Yes</t>
        </is>
      </c>
      <c r="J22" s="7" t="inlineStr">
        <is>
          <t>Medium</t>
        </is>
      </c>
      <c r="K22" s="2" t="n"/>
    </row>
    <row r="23" ht="15.75" customHeight="1" s="18">
      <c r="A23" s="2" t="n">
        <v>22</v>
      </c>
      <c r="B23" s="3" t="inlineStr">
        <is>
          <t>Intervals</t>
        </is>
      </c>
      <c r="C23" s="3" t="inlineStr">
        <is>
          <t>Sorting + Merge</t>
        </is>
      </c>
      <c r="D23" s="3" t="inlineStr">
        <is>
          <t>Merge Intervals</t>
        </is>
      </c>
      <c r="E23" s="8" t="inlineStr">
        <is>
          <t>Medium</t>
        </is>
      </c>
      <c r="F23" s="2" t="inlineStr">
        <is>
          <t>LeetCode</t>
        </is>
      </c>
      <c r="G23" s="5" t="inlineStr">
        <is>
          <t>https://leetcode.com/problems/merge-intervals/</t>
        </is>
      </c>
      <c r="H23" s="2" t="inlineStr">
        <is>
          <t>Community Report</t>
        </is>
      </c>
      <c r="I23" s="2" t="inlineStr">
        <is>
          <t>Yes</t>
        </is>
      </c>
      <c r="J23" s="6" t="inlineStr">
        <is>
          <t>High</t>
        </is>
      </c>
      <c r="K23" s="2" t="n"/>
    </row>
    <row r="24" ht="15.75" customHeight="1" s="18">
      <c r="A24" s="2" t="n">
        <v>23</v>
      </c>
      <c r="B24" s="3" t="inlineStr">
        <is>
          <t>Sorting</t>
        </is>
      </c>
      <c r="C24" s="3" t="inlineStr">
        <is>
          <t>Custom Sort</t>
        </is>
      </c>
      <c r="D24" s="3" t="inlineStr">
        <is>
          <t>Sort an Array</t>
        </is>
      </c>
      <c r="E24" s="9" t="inlineStr">
        <is>
          <t>Easy-Medium</t>
        </is>
      </c>
      <c r="F24" s="2" t="inlineStr">
        <is>
          <t>LeetCode</t>
        </is>
      </c>
      <c r="G24" s="5" t="inlineStr">
        <is>
          <t>https://leetcode.com/problems/sort-an-array/</t>
        </is>
      </c>
      <c r="H24" s="2" t="inlineStr">
        <is>
          <t>Similar</t>
        </is>
      </c>
      <c r="I24" s="2" t="inlineStr">
        <is>
          <t>Yes</t>
        </is>
      </c>
      <c r="J24" s="7" t="inlineStr">
        <is>
          <t>Medium</t>
        </is>
      </c>
      <c r="K24" s="2" t="n"/>
    </row>
    <row r="25" ht="15.75" customHeight="1" s="18">
      <c r="A25" s="2" t="n">
        <v>24</v>
      </c>
      <c r="B25" s="3" t="inlineStr">
        <is>
          <t>Sorting</t>
        </is>
      </c>
      <c r="C25" s="3" t="inlineStr">
        <is>
          <t>Kth Element</t>
        </is>
      </c>
      <c r="D25" s="3" t="inlineStr">
        <is>
          <t>Kth Largest Element in an Array</t>
        </is>
      </c>
      <c r="E25" s="8" t="inlineStr">
        <is>
          <t>Medium</t>
        </is>
      </c>
      <c r="F25" s="2" t="inlineStr">
        <is>
          <t>LeetCode</t>
        </is>
      </c>
      <c r="G25" s="5" t="inlineStr">
        <is>
          <t>https://leetcode.com/problems/kth-largest-element-in-an-array/</t>
        </is>
      </c>
      <c r="H25" s="2" t="inlineStr">
        <is>
          <t>Similar</t>
        </is>
      </c>
      <c r="I25" s="2" t="inlineStr">
        <is>
          <t>Yes</t>
        </is>
      </c>
      <c r="J25" s="7" t="inlineStr">
        <is>
          <t>Medium</t>
        </is>
      </c>
      <c r="K25" s="2" t="n"/>
    </row>
    <row r="26" ht="15.75" customHeight="1" s="18">
      <c r="A26" s="2" t="n">
        <v>25</v>
      </c>
      <c r="B26" s="3" t="inlineStr">
        <is>
          <t>Intervals</t>
        </is>
      </c>
      <c r="C26" s="3" t="inlineStr">
        <is>
          <t>Overlap Check</t>
        </is>
      </c>
      <c r="D26" s="3" t="inlineStr">
        <is>
          <t>Meeting Rooms</t>
        </is>
      </c>
      <c r="E26" s="4" t="inlineStr">
        <is>
          <t>Easy</t>
        </is>
      </c>
      <c r="F26" s="2" t="inlineStr">
        <is>
          <t>LeetCode</t>
        </is>
      </c>
      <c r="G26" s="5" t="inlineStr">
        <is>
          <t>https://leetcode.com/problems/meeting-rooms/</t>
        </is>
      </c>
      <c r="H26" s="2" t="inlineStr">
        <is>
          <t>Similar</t>
        </is>
      </c>
      <c r="I26" s="2" t="inlineStr">
        <is>
          <t>Yes</t>
        </is>
      </c>
      <c r="J26" s="7" t="inlineStr">
        <is>
          <t>Medium</t>
        </is>
      </c>
      <c r="K26" s="2" t="n"/>
    </row>
    <row r="27" ht="15.75" customHeight="1" s="18">
      <c r="A27" s="2" t="n">
        <v>26</v>
      </c>
      <c r="B27" s="3" t="inlineStr">
        <is>
          <t>Binary Search</t>
        </is>
      </c>
      <c r="C27" s="3" t="inlineStr">
        <is>
          <t>Basic</t>
        </is>
      </c>
      <c r="D27" s="3" t="inlineStr">
        <is>
          <t>Binary Search</t>
        </is>
      </c>
      <c r="E27" s="4" t="inlineStr">
        <is>
          <t>Easy</t>
        </is>
      </c>
      <c r="F27" s="2" t="inlineStr">
        <is>
          <t>LeetCode</t>
        </is>
      </c>
      <c r="G27" s="5" t="inlineStr">
        <is>
          <t>https://leetcode.com/problems/binary-search/</t>
        </is>
      </c>
      <c r="H27" s="2" t="inlineStr">
        <is>
          <t>Community Report</t>
        </is>
      </c>
      <c r="I27" s="2" t="inlineStr">
        <is>
          <t>Yes</t>
        </is>
      </c>
      <c r="J27" s="6" t="inlineStr">
        <is>
          <t>High</t>
        </is>
      </c>
      <c r="K27" s="2" t="n"/>
    </row>
    <row r="28" ht="15.75" customHeight="1" s="18">
      <c r="A28" s="2" t="n">
        <v>27</v>
      </c>
      <c r="B28" s="3" t="inlineStr">
        <is>
          <t>Binary Search</t>
        </is>
      </c>
      <c r="C28" s="3" t="inlineStr">
        <is>
          <t>Insert Position</t>
        </is>
      </c>
      <c r="D28" s="3" t="inlineStr">
        <is>
          <t>Search Insert Position</t>
        </is>
      </c>
      <c r="E28" s="4" t="inlineStr">
        <is>
          <t>Easy</t>
        </is>
      </c>
      <c r="F28" s="2" t="inlineStr">
        <is>
          <t>LeetCode</t>
        </is>
      </c>
      <c r="G28" s="5" t="inlineStr">
        <is>
          <t>https://leetcode.com/problems/search-insert-position/</t>
        </is>
      </c>
      <c r="H28" s="2" t="inlineStr">
        <is>
          <t>Community Report</t>
        </is>
      </c>
      <c r="I28" s="2" t="inlineStr">
        <is>
          <t>Yes</t>
        </is>
      </c>
      <c r="J28" s="6" t="inlineStr">
        <is>
          <t>High</t>
        </is>
      </c>
      <c r="K28" s="2" t="n"/>
    </row>
    <row r="29" ht="15.75" customHeight="1" s="18">
      <c r="A29" s="2" t="n">
        <v>28</v>
      </c>
      <c r="B29" s="3" t="inlineStr">
        <is>
          <t>Binary Search</t>
        </is>
      </c>
      <c r="C29" s="3" t="inlineStr">
        <is>
          <t>Boundary Search</t>
        </is>
      </c>
      <c r="D29" s="3" t="inlineStr">
        <is>
          <t>First Bad Version</t>
        </is>
      </c>
      <c r="E29" s="4" t="inlineStr">
        <is>
          <t>Easy</t>
        </is>
      </c>
      <c r="F29" s="2" t="inlineStr">
        <is>
          <t>LeetCode</t>
        </is>
      </c>
      <c r="G29" s="5" t="inlineStr">
        <is>
          <t>https://leetcode.com/problems/first-bad-version/</t>
        </is>
      </c>
      <c r="H29" s="2" t="inlineStr">
        <is>
          <t>Similar</t>
        </is>
      </c>
      <c r="I29" s="2" t="inlineStr">
        <is>
          <t>Yes</t>
        </is>
      </c>
      <c r="J29" s="7" t="inlineStr">
        <is>
          <t>Medium</t>
        </is>
      </c>
      <c r="K29" s="2" t="n"/>
    </row>
    <row r="30" ht="15.75" customHeight="1" s="18">
      <c r="A30" s="2" t="n">
        <v>29</v>
      </c>
      <c r="B30" s="3" t="inlineStr">
        <is>
          <t>Binary Search</t>
        </is>
      </c>
      <c r="C30" s="3" t="inlineStr">
        <is>
          <t>Rotated Array</t>
        </is>
      </c>
      <c r="D30" s="3" t="inlineStr">
        <is>
          <t>Search in Rotated Sorted Array</t>
        </is>
      </c>
      <c r="E30" s="8" t="inlineStr">
        <is>
          <t>Medium</t>
        </is>
      </c>
      <c r="F30" s="2" t="inlineStr">
        <is>
          <t>LeetCode</t>
        </is>
      </c>
      <c r="G30" s="5" t="inlineStr">
        <is>
          <t>https://leetcode.com/problems/search-in-rotated-sorted-array/</t>
        </is>
      </c>
      <c r="H30" s="2" t="inlineStr">
        <is>
          <t>Similar</t>
        </is>
      </c>
      <c r="I30" s="2" t="inlineStr">
        <is>
          <t>Yes</t>
        </is>
      </c>
      <c r="J30" s="7" t="inlineStr">
        <is>
          <t>Medium</t>
        </is>
      </c>
      <c r="K30" s="2" t="n"/>
    </row>
    <row r="31" ht="15.75" customHeight="1" s="18">
      <c r="A31" s="2" t="n">
        <v>30</v>
      </c>
      <c r="B31" s="3" t="inlineStr">
        <is>
          <t>Binary Search</t>
        </is>
      </c>
      <c r="C31" s="3" t="inlineStr">
        <is>
          <t>Range Search</t>
        </is>
      </c>
      <c r="D31" s="3" t="inlineStr">
        <is>
          <t>Find First and Last Position of Element in Sorted Array</t>
        </is>
      </c>
      <c r="E31" s="8" t="inlineStr">
        <is>
          <t>Medium</t>
        </is>
      </c>
      <c r="F31" s="2" t="inlineStr">
        <is>
          <t>LeetCode</t>
        </is>
      </c>
      <c r="G31" s="5" t="inlineStr">
        <is>
          <t>https://leetcode.com/problems/find-first-and-last-position-of-element-in-sorted-array/</t>
        </is>
      </c>
      <c r="H31" s="2" t="inlineStr">
        <is>
          <t>Similar</t>
        </is>
      </c>
      <c r="I31" s="2" t="inlineStr">
        <is>
          <t>Yes</t>
        </is>
      </c>
      <c r="J31" s="7" t="inlineStr">
        <is>
          <t>Medium</t>
        </is>
      </c>
      <c r="K31" s="2" t="n"/>
    </row>
    <row r="32" ht="15.75" customHeight="1" s="18">
      <c r="A32" s="2" t="n">
        <v>31</v>
      </c>
      <c r="B32" s="3" t="inlineStr">
        <is>
          <t>Two Pointers</t>
        </is>
      </c>
      <c r="C32" s="3" t="inlineStr">
        <is>
          <t>Sum</t>
        </is>
      </c>
      <c r="D32" s="3" t="inlineStr">
        <is>
          <t>3Sum</t>
        </is>
      </c>
      <c r="E32" s="8" t="inlineStr">
        <is>
          <t>Medium</t>
        </is>
      </c>
      <c r="F32" s="2" t="inlineStr">
        <is>
          <t>LeetCode</t>
        </is>
      </c>
      <c r="G32" s="5" t="inlineStr">
        <is>
          <t>https://leetcode.com/problems/3sum/</t>
        </is>
      </c>
      <c r="H32" s="2" t="inlineStr">
        <is>
          <t>Similar</t>
        </is>
      </c>
      <c r="I32" s="2" t="inlineStr">
        <is>
          <t>Yes</t>
        </is>
      </c>
      <c r="J32" s="7" t="inlineStr">
        <is>
          <t>Medium</t>
        </is>
      </c>
      <c r="K32" s="2" t="n"/>
    </row>
    <row r="33" ht="15.75" customHeight="1" s="18">
      <c r="A33" s="2" t="n">
        <v>32</v>
      </c>
      <c r="B33" s="3" t="inlineStr">
        <is>
          <t>Two Pointers</t>
        </is>
      </c>
      <c r="C33" s="3" t="inlineStr">
        <is>
          <t>Container</t>
        </is>
      </c>
      <c r="D33" s="3" t="inlineStr">
        <is>
          <t>Container With Most Water</t>
        </is>
      </c>
      <c r="E33" s="8" t="inlineStr">
        <is>
          <t>Medium</t>
        </is>
      </c>
      <c r="F33" s="2" t="inlineStr">
        <is>
          <t>LeetCode</t>
        </is>
      </c>
      <c r="G33" s="5" t="inlineStr">
        <is>
          <t>https://leetcode.com/problems/container-with-most-water/</t>
        </is>
      </c>
      <c r="H33" s="2" t="inlineStr">
        <is>
          <t>Similar</t>
        </is>
      </c>
      <c r="I33" s="2" t="inlineStr">
        <is>
          <t>Yes</t>
        </is>
      </c>
      <c r="J33" s="7" t="inlineStr">
        <is>
          <t>Medium</t>
        </is>
      </c>
      <c r="K33" s="2" t="n"/>
    </row>
    <row r="34" ht="15.75" customHeight="1" s="18">
      <c r="A34" s="2" t="n">
        <v>33</v>
      </c>
      <c r="B34" s="3" t="inlineStr">
        <is>
          <t>Two Pointers</t>
        </is>
      </c>
      <c r="C34" s="3" t="inlineStr">
        <is>
          <t>Removal</t>
        </is>
      </c>
      <c r="D34" s="3" t="inlineStr">
        <is>
          <t>Remove Duplicates from Sorted Array</t>
        </is>
      </c>
      <c r="E34" s="4" t="inlineStr">
        <is>
          <t>Easy</t>
        </is>
      </c>
      <c r="F34" s="2" t="inlineStr">
        <is>
          <t>LeetCode</t>
        </is>
      </c>
      <c r="G34" s="5" t="inlineStr">
        <is>
          <t>https://leetcode.com/problems/remove-duplicates-from-sorted-array/</t>
        </is>
      </c>
      <c r="H34" s="2" t="inlineStr">
        <is>
          <t>Community Report</t>
        </is>
      </c>
      <c r="I34" s="2" t="inlineStr">
        <is>
          <t>Yes</t>
        </is>
      </c>
      <c r="J34" s="6" t="inlineStr">
        <is>
          <t>High</t>
        </is>
      </c>
      <c r="K34" s="2" t="n"/>
    </row>
    <row r="35" ht="15.75" customHeight="1" s="18">
      <c r="A35" s="2" t="n">
        <v>34</v>
      </c>
      <c r="B35" s="3" t="inlineStr">
        <is>
          <t>Number Theory</t>
        </is>
      </c>
      <c r="C35" s="3" t="inlineStr">
        <is>
          <t>LCM</t>
        </is>
      </c>
      <c r="D35" s="3" t="inlineStr">
        <is>
          <t>LCM of Two Numbers</t>
        </is>
      </c>
      <c r="E35" s="4" t="inlineStr">
        <is>
          <t>Easy</t>
        </is>
      </c>
      <c r="F35" s="2" t="inlineStr">
        <is>
          <t>GeeksforGeeks</t>
        </is>
      </c>
      <c r="G35" s="5" t="inlineStr">
        <is>
          <t>https://www.geeksforgeeks.org/program-to-find-lcm-of-two-numbers/</t>
        </is>
      </c>
      <c r="H35" s="2" t="inlineStr">
        <is>
          <t>Community Report</t>
        </is>
      </c>
      <c r="I35" s="2" t="inlineStr">
        <is>
          <t>Yes</t>
        </is>
      </c>
      <c r="J35" s="6" t="inlineStr">
        <is>
          <t>High</t>
        </is>
      </c>
      <c r="K35" s="2" t="n"/>
    </row>
    <row r="36" ht="15.75" customHeight="1" s="18">
      <c r="A36" s="2" t="n">
        <v>35</v>
      </c>
      <c r="B36" s="3" t="inlineStr">
        <is>
          <t>Sliding Window</t>
        </is>
      </c>
      <c r="C36" s="3" t="inlineStr">
        <is>
          <t>Fixed Window</t>
        </is>
      </c>
      <c r="D36" s="3" t="inlineStr">
        <is>
          <t>Maximum Average Subarray I</t>
        </is>
      </c>
      <c r="E36" s="4" t="inlineStr">
        <is>
          <t>Easy</t>
        </is>
      </c>
      <c r="F36" s="2" t="inlineStr">
        <is>
          <t>LeetCode</t>
        </is>
      </c>
      <c r="G36" s="5" t="inlineStr">
        <is>
          <t>https://leetcode.com/problems/maximum-average-subarray-i/</t>
        </is>
      </c>
      <c r="H36" s="2" t="inlineStr">
        <is>
          <t>Similar</t>
        </is>
      </c>
      <c r="I36" s="2" t="inlineStr">
        <is>
          <t>Yes</t>
        </is>
      </c>
      <c r="J36" s="7" t="inlineStr">
        <is>
          <t>Medium</t>
        </is>
      </c>
      <c r="K36" s="2" t="n"/>
    </row>
    <row r="37" ht="15.75" customHeight="1" s="18">
      <c r="A37" s="2" t="n">
        <v>36</v>
      </c>
      <c r="B37" s="3" t="inlineStr">
        <is>
          <t>Sliding Window</t>
        </is>
      </c>
      <c r="C37" s="3" t="inlineStr">
        <is>
          <t>Variable Window</t>
        </is>
      </c>
      <c r="D37" s="3" t="inlineStr">
        <is>
          <t>Minimum Size Subarray Sum</t>
        </is>
      </c>
      <c r="E37" s="8" t="inlineStr">
        <is>
          <t>Medium</t>
        </is>
      </c>
      <c r="F37" s="2" t="inlineStr">
        <is>
          <t>LeetCode</t>
        </is>
      </c>
      <c r="G37" s="5" t="inlineStr">
        <is>
          <t>https://leetcode.com/problems/minimum-size-subarray-sum/</t>
        </is>
      </c>
      <c r="H37" s="2" t="inlineStr">
        <is>
          <t>Community Report</t>
        </is>
      </c>
      <c r="I37" s="2" t="inlineStr">
        <is>
          <t>Yes</t>
        </is>
      </c>
      <c r="J37" s="6" t="inlineStr">
        <is>
          <t>High</t>
        </is>
      </c>
      <c r="K37" s="2" t="n"/>
    </row>
    <row r="38" ht="15.75" customHeight="1" s="18">
      <c r="A38" s="2" t="n">
        <v>37</v>
      </c>
      <c r="B38" s="3" t="inlineStr">
        <is>
          <t>Sliding Window</t>
        </is>
      </c>
      <c r="C38" s="3" t="inlineStr">
        <is>
          <t>Char Frequency</t>
        </is>
      </c>
      <c r="D38" s="3" t="inlineStr">
        <is>
          <t>Permutation in String</t>
        </is>
      </c>
      <c r="E38" s="8" t="inlineStr">
        <is>
          <t>Medium</t>
        </is>
      </c>
      <c r="F38" s="2" t="inlineStr">
        <is>
          <t>LeetCode</t>
        </is>
      </c>
      <c r="G38" s="5" t="inlineStr">
        <is>
          <t>https://leetcode.com/problems/permutation-in-string/</t>
        </is>
      </c>
      <c r="H38" s="2" t="inlineStr">
        <is>
          <t>Similar</t>
        </is>
      </c>
      <c r="I38" s="2" t="inlineStr">
        <is>
          <t>Yes</t>
        </is>
      </c>
      <c r="J38" s="7" t="inlineStr">
        <is>
          <t>Medium</t>
        </is>
      </c>
      <c r="K38" s="2" t="n"/>
    </row>
    <row r="39" ht="15.75" customHeight="1" s="18">
      <c r="A39" s="2" t="n">
        <v>38</v>
      </c>
      <c r="B39" s="3" t="inlineStr">
        <is>
          <t>Prefix Sum</t>
        </is>
      </c>
      <c r="C39" s="3" t="inlineStr">
        <is>
          <t>Range Sum</t>
        </is>
      </c>
      <c r="D39" s="3" t="inlineStr">
        <is>
          <t>Range Sum Query - Immutable</t>
        </is>
      </c>
      <c r="E39" s="4" t="inlineStr">
        <is>
          <t>Easy</t>
        </is>
      </c>
      <c r="F39" s="2" t="inlineStr">
        <is>
          <t>LeetCode</t>
        </is>
      </c>
      <c r="G39" s="5" t="inlineStr">
        <is>
          <t>https://leetcode.com/problems/range-sum-query-immutable/</t>
        </is>
      </c>
      <c r="H39" s="2" t="inlineStr">
        <is>
          <t>Similar</t>
        </is>
      </c>
      <c r="I39" s="2" t="inlineStr">
        <is>
          <t>Yes</t>
        </is>
      </c>
      <c r="J39" s="7" t="inlineStr">
        <is>
          <t>Medium</t>
        </is>
      </c>
      <c r="K39" s="2" t="n"/>
    </row>
    <row r="40" ht="15.75" customHeight="1" s="18">
      <c r="A40" s="2" t="n">
        <v>39</v>
      </c>
      <c r="B40" s="3" t="inlineStr">
        <is>
          <t>Prefix Sum</t>
        </is>
      </c>
      <c r="C40" s="3" t="inlineStr">
        <is>
          <t>Equilibrium Point</t>
        </is>
      </c>
      <c r="D40" s="3" t="inlineStr">
        <is>
          <t>Find Pivot Index</t>
        </is>
      </c>
      <c r="E40" s="4" t="inlineStr">
        <is>
          <t>Easy</t>
        </is>
      </c>
      <c r="F40" s="2" t="inlineStr">
        <is>
          <t>LeetCode</t>
        </is>
      </c>
      <c r="G40" s="5" t="inlineStr">
        <is>
          <t>https://leetcode.com/problems/find-pivot-index/</t>
        </is>
      </c>
      <c r="H40" s="2" t="inlineStr">
        <is>
          <t>Similar</t>
        </is>
      </c>
      <c r="I40" s="2" t="inlineStr">
        <is>
          <t>Yes</t>
        </is>
      </c>
      <c r="J40" s="7" t="inlineStr">
        <is>
          <t>Medium</t>
        </is>
      </c>
      <c r="K40" s="2" t="n"/>
    </row>
    <row r="41" ht="15.75" customHeight="1" s="18">
      <c r="A41" s="2" t="n">
        <v>40</v>
      </c>
      <c r="B41" s="3" t="inlineStr">
        <is>
          <t>Matrix</t>
        </is>
      </c>
      <c r="C41" s="3" t="inlineStr">
        <is>
          <t>Traversal</t>
        </is>
      </c>
      <c r="D41" s="3" t="inlineStr">
        <is>
          <t>Spiral Matrix</t>
        </is>
      </c>
      <c r="E41" s="8" t="inlineStr">
        <is>
          <t>Medium</t>
        </is>
      </c>
      <c r="F41" s="2" t="inlineStr">
        <is>
          <t>LeetCode</t>
        </is>
      </c>
      <c r="G41" s="5" t="inlineStr">
        <is>
          <t>https://leetcode.com/problems/spiral-matrix/</t>
        </is>
      </c>
      <c r="H41" s="2" t="inlineStr">
        <is>
          <t>Community Report</t>
        </is>
      </c>
      <c r="I41" s="2" t="inlineStr">
        <is>
          <t>Yes</t>
        </is>
      </c>
      <c r="J41" s="6" t="inlineStr">
        <is>
          <t>High</t>
        </is>
      </c>
      <c r="K41" s="2" t="n"/>
    </row>
    <row r="42" ht="15.75" customHeight="1" s="18">
      <c r="A42" s="2" t="n">
        <v>41</v>
      </c>
      <c r="B42" s="3" t="inlineStr">
        <is>
          <t>Matrix</t>
        </is>
      </c>
      <c r="C42" s="3" t="inlineStr">
        <is>
          <t>Rotation</t>
        </is>
      </c>
      <c r="D42" s="3" t="inlineStr">
        <is>
          <t>Rotate Image</t>
        </is>
      </c>
      <c r="E42" s="8" t="inlineStr">
        <is>
          <t>Medium</t>
        </is>
      </c>
      <c r="F42" s="2" t="inlineStr">
        <is>
          <t>LeetCode</t>
        </is>
      </c>
      <c r="G42" s="5" t="inlineStr">
        <is>
          <t>https://leetcode.com/problems/rotate-image/</t>
        </is>
      </c>
      <c r="H42" s="2" t="inlineStr">
        <is>
          <t>Similar</t>
        </is>
      </c>
      <c r="I42" s="2" t="inlineStr">
        <is>
          <t>Yes</t>
        </is>
      </c>
      <c r="J42" s="7" t="inlineStr">
        <is>
          <t>Medium</t>
        </is>
      </c>
      <c r="K42" s="2" t="n"/>
    </row>
    <row r="43" ht="15.75" customHeight="1" s="18">
      <c r="A43" s="2" t="n">
        <v>42</v>
      </c>
      <c r="B43" s="3" t="inlineStr">
        <is>
          <t>Matrix</t>
        </is>
      </c>
      <c r="C43" s="3" t="inlineStr">
        <is>
          <t>Search</t>
        </is>
      </c>
      <c r="D43" s="3" t="inlineStr">
        <is>
          <t>Search a 2D Matrix</t>
        </is>
      </c>
      <c r="E43" s="8" t="inlineStr">
        <is>
          <t>Medium</t>
        </is>
      </c>
      <c r="F43" s="2" t="inlineStr">
        <is>
          <t>LeetCode</t>
        </is>
      </c>
      <c r="G43" s="5" t="inlineStr">
        <is>
          <t>https://leetcode.com/problems/search-a-2d-matrix/</t>
        </is>
      </c>
      <c r="H43" s="2" t="inlineStr">
        <is>
          <t>Similar</t>
        </is>
      </c>
      <c r="I43" s="2" t="inlineStr">
        <is>
          <t>Yes</t>
        </is>
      </c>
      <c r="J43" s="7" t="inlineStr">
        <is>
          <t>Medium</t>
        </is>
      </c>
      <c r="K43" s="2" t="n"/>
    </row>
    <row r="44" ht="15.75" customHeight="1" s="18">
      <c r="A44" s="2" t="n">
        <v>43</v>
      </c>
      <c r="B44" s="3" t="inlineStr">
        <is>
          <t>Matrix</t>
        </is>
      </c>
      <c r="C44" s="3" t="inlineStr">
        <is>
          <t>Modification</t>
        </is>
      </c>
      <c r="D44" s="3" t="inlineStr">
        <is>
          <t>Set Matrix Zeroes</t>
        </is>
      </c>
      <c r="E44" s="8" t="inlineStr">
        <is>
          <t>Medium</t>
        </is>
      </c>
      <c r="F44" s="2" t="inlineStr">
        <is>
          <t>LeetCode</t>
        </is>
      </c>
      <c r="G44" s="5" t="inlineStr">
        <is>
          <t>https://leetcode.com/problems/set-matrix-zeroes/</t>
        </is>
      </c>
      <c r="H44" s="2" t="inlineStr">
        <is>
          <t>Similar</t>
        </is>
      </c>
      <c r="I44" s="2" t="inlineStr">
        <is>
          <t>Yes</t>
        </is>
      </c>
      <c r="J44" s="7" t="inlineStr">
        <is>
          <t>Medium</t>
        </is>
      </c>
      <c r="K44" s="2" t="n"/>
    </row>
    <row r="45" ht="15.75" customHeight="1" s="18">
      <c r="A45" s="2" t="n">
        <v>44</v>
      </c>
      <c r="B45" s="3" t="inlineStr">
        <is>
          <t>Recursion</t>
        </is>
      </c>
      <c r="C45" s="3" t="inlineStr">
        <is>
          <t>Basic</t>
        </is>
      </c>
      <c r="D45" s="3" t="inlineStr">
        <is>
          <t>Fibonacci Number</t>
        </is>
      </c>
      <c r="E45" s="4" t="inlineStr">
        <is>
          <t>Easy</t>
        </is>
      </c>
      <c r="F45" s="2" t="inlineStr">
        <is>
          <t>LeetCode</t>
        </is>
      </c>
      <c r="G45" s="5" t="inlineStr">
        <is>
          <t>https://leetcode.com/problems/fibonacci-number/</t>
        </is>
      </c>
      <c r="H45" s="2" t="inlineStr">
        <is>
          <t>Community Report</t>
        </is>
      </c>
      <c r="I45" s="2" t="inlineStr">
        <is>
          <t>Yes</t>
        </is>
      </c>
      <c r="J45" s="6" t="inlineStr">
        <is>
          <t>High</t>
        </is>
      </c>
      <c r="K45" s="2" t="n"/>
    </row>
    <row r="46" ht="15.75" customHeight="1" s="18">
      <c r="A46" s="2" t="n">
        <v>45</v>
      </c>
      <c r="B46" s="3" t="inlineStr">
        <is>
          <t>Recursion</t>
        </is>
      </c>
      <c r="C46" s="3" t="inlineStr">
        <is>
          <t>Power/Exponent</t>
        </is>
      </c>
      <c r="D46" s="3" t="inlineStr">
        <is>
          <t>Pow(x, n)</t>
        </is>
      </c>
      <c r="E46" s="8" t="inlineStr">
        <is>
          <t>Medium</t>
        </is>
      </c>
      <c r="F46" s="2" t="inlineStr">
        <is>
          <t>LeetCode</t>
        </is>
      </c>
      <c r="G46" s="5" t="inlineStr">
        <is>
          <t>https://leetcode.com/problems/powx-n/</t>
        </is>
      </c>
      <c r="H46" s="2" t="inlineStr">
        <is>
          <t>Similar</t>
        </is>
      </c>
      <c r="I46" s="2" t="inlineStr">
        <is>
          <t>Yes</t>
        </is>
      </c>
      <c r="J46" s="10" t="inlineStr">
        <is>
          <t>Low</t>
        </is>
      </c>
      <c r="K46" s="2" t="n"/>
    </row>
    <row r="47" ht="15.75" customHeight="1" s="18">
      <c r="A47" s="2" t="n">
        <v>46</v>
      </c>
      <c r="B47" s="3" t="inlineStr">
        <is>
          <t>Mathematics</t>
        </is>
      </c>
      <c r="C47" s="3" t="inlineStr">
        <is>
          <t>Digit Sum</t>
        </is>
      </c>
      <c r="D47" s="3" t="inlineStr">
        <is>
          <t>Add Digits</t>
        </is>
      </c>
      <c r="E47" s="4" t="inlineStr">
        <is>
          <t>Easy</t>
        </is>
      </c>
      <c r="F47" s="2" t="inlineStr">
        <is>
          <t>LeetCode</t>
        </is>
      </c>
      <c r="G47" s="5" t="inlineStr">
        <is>
          <t>https://leetcode.com/problems/add-digits/</t>
        </is>
      </c>
      <c r="H47" s="2" t="inlineStr">
        <is>
          <t>Similar</t>
        </is>
      </c>
      <c r="I47" s="2" t="inlineStr">
        <is>
          <t>Yes</t>
        </is>
      </c>
      <c r="J47" s="7" t="inlineStr">
        <is>
          <t>Medium</t>
        </is>
      </c>
      <c r="K47" s="2" t="n"/>
    </row>
    <row r="48" ht="15.75" customHeight="1" s="18">
      <c r="A48" s="2" t="n">
        <v>47</v>
      </c>
      <c r="B48" s="3" t="inlineStr">
        <is>
          <t>Basic Backtracking</t>
        </is>
      </c>
      <c r="C48" s="3" t="inlineStr">
        <is>
          <t>Subsets</t>
        </is>
      </c>
      <c r="D48" s="3" t="inlineStr">
        <is>
          <t>Subsets</t>
        </is>
      </c>
      <c r="E48" s="8" t="inlineStr">
        <is>
          <t>Medium</t>
        </is>
      </c>
      <c r="F48" s="2" t="inlineStr">
        <is>
          <t>LeetCode</t>
        </is>
      </c>
      <c r="G48" s="5" t="inlineStr">
        <is>
          <t>https://leetcode.com/problems/subsets/</t>
        </is>
      </c>
      <c r="H48" s="2" t="inlineStr">
        <is>
          <t>Similar</t>
        </is>
      </c>
      <c r="I48" s="2" t="inlineStr">
        <is>
          <t>Yes</t>
        </is>
      </c>
      <c r="J48" s="7" t="inlineStr">
        <is>
          <t>Medium</t>
        </is>
      </c>
      <c r="K48" s="2" t="n"/>
    </row>
    <row r="49" ht="15.75" customHeight="1" s="18">
      <c r="A49" s="2" t="n">
        <v>48</v>
      </c>
      <c r="B49" s="3" t="inlineStr">
        <is>
          <t>Basic Backtracking</t>
        </is>
      </c>
      <c r="C49" s="3" t="inlineStr">
        <is>
          <t>Permutations</t>
        </is>
      </c>
      <c r="D49" s="3" t="inlineStr">
        <is>
          <t>Permutations</t>
        </is>
      </c>
      <c r="E49" s="8" t="inlineStr">
        <is>
          <t>Medium</t>
        </is>
      </c>
      <c r="F49" s="2" t="inlineStr">
        <is>
          <t>LeetCode</t>
        </is>
      </c>
      <c r="G49" s="5" t="inlineStr">
        <is>
          <t>https://leetcode.com/problems/permutations/</t>
        </is>
      </c>
      <c r="H49" s="2" t="inlineStr">
        <is>
          <t>Similar</t>
        </is>
      </c>
      <c r="I49" s="2" t="inlineStr">
        <is>
          <t>Yes</t>
        </is>
      </c>
      <c r="J49" s="7" t="inlineStr">
        <is>
          <t>Medium</t>
        </is>
      </c>
      <c r="K49" s="2" t="n"/>
    </row>
    <row r="50" ht="15.75" customHeight="1" s="18">
      <c r="A50" s="2" t="n">
        <v>49</v>
      </c>
      <c r="B50" s="3" t="inlineStr">
        <is>
          <t>Basic Backtracking</t>
        </is>
      </c>
      <c r="C50" s="3" t="inlineStr">
        <is>
          <t>Combination</t>
        </is>
      </c>
      <c r="D50" s="3" t="inlineStr">
        <is>
          <t>Combination Sum</t>
        </is>
      </c>
      <c r="E50" s="8" t="inlineStr">
        <is>
          <t>Medium</t>
        </is>
      </c>
      <c r="F50" s="2" t="inlineStr">
        <is>
          <t>LeetCode</t>
        </is>
      </c>
      <c r="G50" s="5" t="inlineStr">
        <is>
          <t>https://leetcode.com/problems/combination-sum/</t>
        </is>
      </c>
      <c r="H50" s="2" t="inlineStr">
        <is>
          <t>Similar</t>
        </is>
      </c>
      <c r="I50" s="2" t="inlineStr">
        <is>
          <t>Yes</t>
        </is>
      </c>
      <c r="J50" s="7" t="inlineStr">
        <is>
          <t>Medium</t>
        </is>
      </c>
      <c r="K50" s="2" t="n"/>
    </row>
    <row r="51" ht="15.75" customHeight="1" s="18">
      <c r="A51" s="2" t="n">
        <v>50</v>
      </c>
      <c r="B51" s="3" t="inlineStr">
        <is>
          <t>Stack</t>
        </is>
      </c>
      <c r="C51" s="3" t="inlineStr">
        <is>
          <t>Validity Check</t>
        </is>
      </c>
      <c r="D51" s="3" t="inlineStr">
        <is>
          <t>Valid Parentheses</t>
        </is>
      </c>
      <c r="E51" s="4" t="inlineStr">
        <is>
          <t>Easy</t>
        </is>
      </c>
      <c r="F51" s="2" t="inlineStr">
        <is>
          <t>LeetCode</t>
        </is>
      </c>
      <c r="G51" s="5" t="inlineStr">
        <is>
          <t>https://leetcode.com/problems/valid-parentheses/</t>
        </is>
      </c>
      <c r="H51" s="2" t="inlineStr">
        <is>
          <t>Community Report</t>
        </is>
      </c>
      <c r="I51" s="2" t="inlineStr">
        <is>
          <t>Yes</t>
        </is>
      </c>
      <c r="J51" s="6" t="inlineStr">
        <is>
          <t>High</t>
        </is>
      </c>
      <c r="K51" s="2" t="n"/>
    </row>
    <row r="52" ht="15.75" customHeight="1" s="18">
      <c r="A52" s="2" t="n">
        <v>51</v>
      </c>
      <c r="B52" s="3" t="inlineStr">
        <is>
          <t>Stack</t>
        </is>
      </c>
      <c r="C52" s="3" t="inlineStr">
        <is>
          <t>Design</t>
        </is>
      </c>
      <c r="D52" s="3" t="inlineStr">
        <is>
          <t>Min Stack</t>
        </is>
      </c>
      <c r="E52" s="8" t="inlineStr">
        <is>
          <t>Medium</t>
        </is>
      </c>
      <c r="F52" s="2" t="inlineStr">
        <is>
          <t>LeetCode</t>
        </is>
      </c>
      <c r="G52" s="5" t="inlineStr">
        <is>
          <t>https://leetcode.com/problems/min-stack/</t>
        </is>
      </c>
      <c r="H52" s="2" t="inlineStr">
        <is>
          <t>Community Report</t>
        </is>
      </c>
      <c r="I52" s="2" t="inlineStr">
        <is>
          <t>Yes</t>
        </is>
      </c>
      <c r="J52" s="6" t="inlineStr">
        <is>
          <t>High</t>
        </is>
      </c>
      <c r="K52" s="2" t="n"/>
    </row>
    <row r="53" ht="15.75" customHeight="1" s="18">
      <c r="A53" s="2" t="n">
        <v>52</v>
      </c>
      <c r="B53" s="3" t="inlineStr">
        <is>
          <t>Stack</t>
        </is>
      </c>
      <c r="C53" s="3" t="inlineStr">
        <is>
          <t>Evaluation</t>
        </is>
      </c>
      <c r="D53" s="3" t="inlineStr">
        <is>
          <t>Evaluate Reverse Polish Notation</t>
        </is>
      </c>
      <c r="E53" s="8" t="inlineStr">
        <is>
          <t>Medium</t>
        </is>
      </c>
      <c r="F53" s="2" t="inlineStr">
        <is>
          <t>LeetCode</t>
        </is>
      </c>
      <c r="G53" s="5" t="inlineStr">
        <is>
          <t>https://leetcode.com/problems/evaluate-reverse-polish-notation/</t>
        </is>
      </c>
      <c r="H53" s="2" t="inlineStr">
        <is>
          <t>Similar</t>
        </is>
      </c>
      <c r="I53" s="2" t="inlineStr">
        <is>
          <t>Yes</t>
        </is>
      </c>
      <c r="J53" s="7" t="inlineStr">
        <is>
          <t>Medium</t>
        </is>
      </c>
      <c r="K53" s="2" t="n"/>
    </row>
    <row r="54" ht="15.75" customHeight="1" s="18">
      <c r="A54" s="2" t="n">
        <v>53</v>
      </c>
      <c r="B54" s="3" t="inlineStr">
        <is>
          <t>Stack</t>
        </is>
      </c>
      <c r="C54" s="3" t="inlineStr">
        <is>
          <t>Monotonic Stack</t>
        </is>
      </c>
      <c r="D54" s="3" t="inlineStr">
        <is>
          <t>Daily Temperatures</t>
        </is>
      </c>
      <c r="E54" s="8" t="inlineStr">
        <is>
          <t>Medium</t>
        </is>
      </c>
      <c r="F54" s="2" t="inlineStr">
        <is>
          <t>LeetCode</t>
        </is>
      </c>
      <c r="G54" s="5" t="inlineStr">
        <is>
          <t>https://leetcode.com/problems/daily-temperatures/</t>
        </is>
      </c>
      <c r="H54" s="2" t="inlineStr">
        <is>
          <t>Similar</t>
        </is>
      </c>
      <c r="I54" s="2" t="inlineStr">
        <is>
          <t>Yes</t>
        </is>
      </c>
      <c r="J54" s="7" t="inlineStr">
        <is>
          <t>Medium</t>
        </is>
      </c>
      <c r="K54" s="2" t="n"/>
    </row>
    <row r="55" ht="15.75" customHeight="1" s="18">
      <c r="A55" s="2" t="n">
        <v>54</v>
      </c>
      <c r="B55" s="3" t="inlineStr">
        <is>
          <t>Stack</t>
        </is>
      </c>
      <c r="C55" s="3" t="inlineStr">
        <is>
          <t>Path Simplification</t>
        </is>
      </c>
      <c r="D55" s="3" t="inlineStr">
        <is>
          <t>Simplify Path</t>
        </is>
      </c>
      <c r="E55" s="8" t="inlineStr">
        <is>
          <t>Medium</t>
        </is>
      </c>
      <c r="F55" s="2" t="inlineStr">
        <is>
          <t>LeetCode</t>
        </is>
      </c>
      <c r="G55" s="5" t="inlineStr">
        <is>
          <t>https://leetcode.com/problems/simplify-path/</t>
        </is>
      </c>
      <c r="H55" s="2" t="inlineStr">
        <is>
          <t>Similar</t>
        </is>
      </c>
      <c r="I55" s="2" t="inlineStr">
        <is>
          <t>Yes</t>
        </is>
      </c>
      <c r="J55" s="10" t="inlineStr">
        <is>
          <t>Low</t>
        </is>
      </c>
      <c r="K55" s="2" t="n"/>
    </row>
    <row r="56" ht="15.75" customHeight="1" s="18">
      <c r="A56" s="2" t="n">
        <v>55</v>
      </c>
      <c r="B56" s="3" t="inlineStr">
        <is>
          <t>Queue</t>
        </is>
      </c>
      <c r="C56" s="3" t="inlineStr">
        <is>
          <t>Design</t>
        </is>
      </c>
      <c r="D56" s="3" t="inlineStr">
        <is>
          <t>Implement Queue using Stacks</t>
        </is>
      </c>
      <c r="E56" s="4" t="inlineStr">
        <is>
          <t>Easy</t>
        </is>
      </c>
      <c r="F56" s="2" t="inlineStr">
        <is>
          <t>LeetCode</t>
        </is>
      </c>
      <c r="G56" s="5" t="inlineStr">
        <is>
          <t>https://leetcode.com/problems/implement-queue-using-stacks/</t>
        </is>
      </c>
      <c r="H56" s="2" t="inlineStr">
        <is>
          <t>Similar</t>
        </is>
      </c>
      <c r="I56" s="2" t="inlineStr">
        <is>
          <t>Yes</t>
        </is>
      </c>
      <c r="J56" s="7" t="inlineStr">
        <is>
          <t>Medium</t>
        </is>
      </c>
      <c r="K56" s="2" t="n"/>
    </row>
    <row r="57" ht="15.75" customHeight="1" s="18">
      <c r="A57" s="2" t="n">
        <v>56</v>
      </c>
      <c r="B57" s="3" t="inlineStr">
        <is>
          <t>Number Theory</t>
        </is>
      </c>
      <c r="C57" s="3" t="inlineStr">
        <is>
          <t>Prime Factorization</t>
        </is>
      </c>
      <c r="D57" s="3" t="inlineStr">
        <is>
          <t>Prime Factors of a Number</t>
        </is>
      </c>
      <c r="E57" s="9" t="inlineStr">
        <is>
          <t>Easy-Medium</t>
        </is>
      </c>
      <c r="F57" s="2" t="inlineStr">
        <is>
          <t>GeeksforGeeks</t>
        </is>
      </c>
      <c r="G57" s="5" t="inlineStr">
        <is>
          <t>https://www.geeksforgeeks.org/prime-factor/</t>
        </is>
      </c>
      <c r="H57" s="2" t="inlineStr">
        <is>
          <t>Community Report</t>
        </is>
      </c>
      <c r="I57" s="2" t="inlineStr">
        <is>
          <t>Yes</t>
        </is>
      </c>
      <c r="J57" s="6" t="inlineStr">
        <is>
          <t>High</t>
        </is>
      </c>
      <c r="K57" s="2" t="n"/>
    </row>
    <row r="58" ht="15.75" customHeight="1" s="18">
      <c r="A58" s="2" t="n">
        <v>57</v>
      </c>
      <c r="B58" s="3" t="inlineStr">
        <is>
          <t>Queue</t>
        </is>
      </c>
      <c r="C58" s="3" t="inlineStr">
        <is>
          <t>Sliding Window</t>
        </is>
      </c>
      <c r="D58" s="3" t="inlineStr">
        <is>
          <t>Sliding Window Maximum</t>
        </is>
      </c>
      <c r="E58" s="8" t="inlineStr">
        <is>
          <t>Medium</t>
        </is>
      </c>
      <c r="F58" s="2" t="inlineStr">
        <is>
          <t>LeetCode</t>
        </is>
      </c>
      <c r="G58" s="5" t="inlineStr">
        <is>
          <t>https://leetcode.com/problems/sliding-window-maximum/</t>
        </is>
      </c>
      <c r="H58" s="2" t="inlineStr">
        <is>
          <t>Similar</t>
        </is>
      </c>
      <c r="I58" s="2" t="inlineStr">
        <is>
          <t>Yes</t>
        </is>
      </c>
      <c r="J58" s="7" t="inlineStr">
        <is>
          <t>Medium</t>
        </is>
      </c>
      <c r="K58" s="2" t="n"/>
    </row>
    <row r="59" ht="15.75" customHeight="1" s="18">
      <c r="A59" s="2" t="n">
        <v>58</v>
      </c>
      <c r="B59" s="3" t="inlineStr">
        <is>
          <t>Linked List</t>
        </is>
      </c>
      <c r="C59" s="3" t="inlineStr">
        <is>
          <t>Reversal</t>
        </is>
      </c>
      <c r="D59" s="3" t="inlineStr">
        <is>
          <t>Reverse Linked List</t>
        </is>
      </c>
      <c r="E59" s="4" t="inlineStr">
        <is>
          <t>Easy</t>
        </is>
      </c>
      <c r="F59" s="2" t="inlineStr">
        <is>
          <t>LeetCode</t>
        </is>
      </c>
      <c r="G59" s="5" t="inlineStr">
        <is>
          <t>https://leetcode.com/problems/reverse-linked-list/</t>
        </is>
      </c>
      <c r="H59" s="2" t="inlineStr">
        <is>
          <t>Community Report</t>
        </is>
      </c>
      <c r="I59" s="2" t="inlineStr">
        <is>
          <t>Yes</t>
        </is>
      </c>
      <c r="J59" s="6" t="inlineStr">
        <is>
          <t>High</t>
        </is>
      </c>
      <c r="K59" s="2" t="n"/>
    </row>
    <row r="60" ht="15.75" customHeight="1" s="18">
      <c r="A60" s="2" t="n">
        <v>59</v>
      </c>
      <c r="B60" s="3" t="inlineStr">
        <is>
          <t>Linked List</t>
        </is>
      </c>
      <c r="C60" s="3" t="inlineStr">
        <is>
          <t>Two Pointer</t>
        </is>
      </c>
      <c r="D60" s="3" t="inlineStr">
        <is>
          <t>Middle of the Linked List</t>
        </is>
      </c>
      <c r="E60" s="4" t="inlineStr">
        <is>
          <t>Easy</t>
        </is>
      </c>
      <c r="F60" s="2" t="inlineStr">
        <is>
          <t>LeetCode</t>
        </is>
      </c>
      <c r="G60" s="5" t="inlineStr">
        <is>
          <t>https://leetcode.com/problems/middle-of-the-linked-list/</t>
        </is>
      </c>
      <c r="H60" s="2" t="inlineStr">
        <is>
          <t>Community Report</t>
        </is>
      </c>
      <c r="I60" s="2" t="inlineStr">
        <is>
          <t>Yes</t>
        </is>
      </c>
      <c r="J60" s="6" t="inlineStr">
        <is>
          <t>High</t>
        </is>
      </c>
      <c r="K60" s="2" t="n"/>
    </row>
    <row r="61" ht="15.75" customHeight="1" s="18">
      <c r="A61" s="2" t="n">
        <v>60</v>
      </c>
      <c r="B61" s="3" t="inlineStr">
        <is>
          <t>Linked List</t>
        </is>
      </c>
      <c r="C61" s="3" t="inlineStr">
        <is>
          <t>Cycle Detection</t>
        </is>
      </c>
      <c r="D61" s="3" t="inlineStr">
        <is>
          <t>Linked List Cycle</t>
        </is>
      </c>
      <c r="E61" s="4" t="inlineStr">
        <is>
          <t>Easy</t>
        </is>
      </c>
      <c r="F61" s="2" t="inlineStr">
        <is>
          <t>LeetCode</t>
        </is>
      </c>
      <c r="G61" s="5" t="inlineStr">
        <is>
          <t>https://leetcode.com/problems/linked-list-cycle/</t>
        </is>
      </c>
      <c r="H61" s="2" t="inlineStr">
        <is>
          <t>Community Report</t>
        </is>
      </c>
      <c r="I61" s="2" t="inlineStr">
        <is>
          <t>Yes</t>
        </is>
      </c>
      <c r="J61" s="6" t="inlineStr">
        <is>
          <t>High</t>
        </is>
      </c>
      <c r="K61" s="2" t="n"/>
    </row>
    <row r="62" ht="15.75" customHeight="1" s="18">
      <c r="A62" s="2" t="n">
        <v>61</v>
      </c>
      <c r="B62" s="3" t="inlineStr">
        <is>
          <t>Linked List</t>
        </is>
      </c>
      <c r="C62" s="3" t="inlineStr">
        <is>
          <t>Merge</t>
        </is>
      </c>
      <c r="D62" s="3" t="inlineStr">
        <is>
          <t>Merge Two Sorted Lists</t>
        </is>
      </c>
      <c r="E62" s="4" t="inlineStr">
        <is>
          <t>Easy</t>
        </is>
      </c>
      <c r="F62" s="2" t="inlineStr">
        <is>
          <t>LeetCode</t>
        </is>
      </c>
      <c r="G62" s="5" t="inlineStr">
        <is>
          <t>https://leetcode.com/problems/merge-two-sorted-lists/</t>
        </is>
      </c>
      <c r="H62" s="2" t="inlineStr">
        <is>
          <t>Community Report</t>
        </is>
      </c>
      <c r="I62" s="2" t="inlineStr">
        <is>
          <t>Yes</t>
        </is>
      </c>
      <c r="J62" s="6" t="inlineStr">
        <is>
          <t>High</t>
        </is>
      </c>
      <c r="K62" s="2" t="n"/>
    </row>
    <row r="63" ht="15.75" customHeight="1" s="18">
      <c r="A63" s="2" t="n">
        <v>62</v>
      </c>
      <c r="B63" s="3" t="inlineStr">
        <is>
          <t>Linked List</t>
        </is>
      </c>
      <c r="C63" s="3" t="inlineStr">
        <is>
          <t>Removal</t>
        </is>
      </c>
      <c r="D63" s="3" t="inlineStr">
        <is>
          <t>Remove Nth Node From End of List</t>
        </is>
      </c>
      <c r="E63" s="8" t="inlineStr">
        <is>
          <t>Medium</t>
        </is>
      </c>
      <c r="F63" s="2" t="inlineStr">
        <is>
          <t>LeetCode</t>
        </is>
      </c>
      <c r="G63" s="5" t="inlineStr">
        <is>
          <t>https://leetcode.com/problems/remove-nth-node-from-end-of-list/</t>
        </is>
      </c>
      <c r="H63" s="2" t="inlineStr">
        <is>
          <t>Similar</t>
        </is>
      </c>
      <c r="I63" s="2" t="inlineStr">
        <is>
          <t>Yes</t>
        </is>
      </c>
      <c r="J63" s="7" t="inlineStr">
        <is>
          <t>Medium</t>
        </is>
      </c>
      <c r="K63" s="2" t="n"/>
    </row>
    <row r="64" ht="15.75" customHeight="1" s="18">
      <c r="A64" s="2" t="n">
        <v>63</v>
      </c>
      <c r="B64" s="3" t="inlineStr">
        <is>
          <t>Linked List</t>
        </is>
      </c>
      <c r="C64" s="3" t="inlineStr">
        <is>
          <t>Palindrome Check</t>
        </is>
      </c>
      <c r="D64" s="3" t="inlineStr">
        <is>
          <t>Palindrome Linked List</t>
        </is>
      </c>
      <c r="E64" s="4" t="inlineStr">
        <is>
          <t>Easy</t>
        </is>
      </c>
      <c r="F64" s="2" t="inlineStr">
        <is>
          <t>LeetCode</t>
        </is>
      </c>
      <c r="G64" s="5" t="inlineStr">
        <is>
          <t>https://leetcode.com/problems/palindrome-linked-list/</t>
        </is>
      </c>
      <c r="H64" s="2" t="inlineStr">
        <is>
          <t>Similar</t>
        </is>
      </c>
      <c r="I64" s="2" t="inlineStr">
        <is>
          <t>Yes</t>
        </is>
      </c>
      <c r="J64" s="7" t="inlineStr">
        <is>
          <t>Medium</t>
        </is>
      </c>
      <c r="K64" s="2" t="n"/>
    </row>
    <row r="65" ht="15.75" customHeight="1" s="18">
      <c r="A65" s="2" t="n">
        <v>64</v>
      </c>
      <c r="B65" s="3" t="inlineStr">
        <is>
          <t>Linked List</t>
        </is>
      </c>
      <c r="C65" s="3" t="inlineStr">
        <is>
          <t>Intersection</t>
        </is>
      </c>
      <c r="D65" s="3" t="inlineStr">
        <is>
          <t>Intersection of Two Linked Lists</t>
        </is>
      </c>
      <c r="E65" s="4" t="inlineStr">
        <is>
          <t>Easy</t>
        </is>
      </c>
      <c r="F65" s="2" t="inlineStr">
        <is>
          <t>LeetCode</t>
        </is>
      </c>
      <c r="G65" s="5" t="inlineStr">
        <is>
          <t>https://leetcode.com/problems/intersection-of-two-linked-lists/</t>
        </is>
      </c>
      <c r="H65" s="2" t="inlineStr">
        <is>
          <t>Similar</t>
        </is>
      </c>
      <c r="I65" s="2" t="inlineStr">
        <is>
          <t>Yes</t>
        </is>
      </c>
      <c r="J65" s="7" t="inlineStr">
        <is>
          <t>Medium</t>
        </is>
      </c>
      <c r="K65" s="2" t="n"/>
    </row>
    <row r="66" ht="15.75" customHeight="1" s="18">
      <c r="A66" s="2" t="n">
        <v>65</v>
      </c>
      <c r="B66" s="3" t="inlineStr">
        <is>
          <t>Trees</t>
        </is>
      </c>
      <c r="C66" s="3" t="inlineStr">
        <is>
          <t>Traversal</t>
        </is>
      </c>
      <c r="D66" s="3" t="inlineStr">
        <is>
          <t>Maximum Depth of Binary Tree</t>
        </is>
      </c>
      <c r="E66" s="4" t="inlineStr">
        <is>
          <t>Easy</t>
        </is>
      </c>
      <c r="F66" s="2" t="inlineStr">
        <is>
          <t>LeetCode</t>
        </is>
      </c>
      <c r="G66" s="5" t="inlineStr">
        <is>
          <t>https://leetcode.com/problems/maximum-depth-of-binary-tree/</t>
        </is>
      </c>
      <c r="H66" s="2" t="inlineStr">
        <is>
          <t>Community Report</t>
        </is>
      </c>
      <c r="I66" s="2" t="inlineStr">
        <is>
          <t>Yes</t>
        </is>
      </c>
      <c r="J66" s="6" t="inlineStr">
        <is>
          <t>High</t>
        </is>
      </c>
      <c r="K66" s="2" t="n"/>
    </row>
    <row r="67" ht="15.75" customHeight="1" s="18">
      <c r="A67" s="2" t="n">
        <v>66</v>
      </c>
      <c r="B67" s="3" t="inlineStr">
        <is>
          <t>Trees</t>
        </is>
      </c>
      <c r="C67" s="3" t="inlineStr">
        <is>
          <t>BFS</t>
        </is>
      </c>
      <c r="D67" s="3" t="inlineStr">
        <is>
          <t>Binary Tree Level Order Traversal</t>
        </is>
      </c>
      <c r="E67" s="8" t="inlineStr">
        <is>
          <t>Medium</t>
        </is>
      </c>
      <c r="F67" s="2" t="inlineStr">
        <is>
          <t>LeetCode</t>
        </is>
      </c>
      <c r="G67" s="5" t="inlineStr">
        <is>
          <t>https://leetcode.com/problems/binary-tree-level-order-traversal/</t>
        </is>
      </c>
      <c r="H67" s="2" t="inlineStr">
        <is>
          <t>Community Report</t>
        </is>
      </c>
      <c r="I67" s="2" t="inlineStr">
        <is>
          <t>Yes</t>
        </is>
      </c>
      <c r="J67" s="6" t="inlineStr">
        <is>
          <t>High</t>
        </is>
      </c>
      <c r="K67" s="2" t="n"/>
    </row>
    <row r="68" ht="15.75" customHeight="1" s="18">
      <c r="A68" s="2" t="n">
        <v>67</v>
      </c>
      <c r="B68" s="3" t="inlineStr">
        <is>
          <t>Trees</t>
        </is>
      </c>
      <c r="C68" s="3" t="inlineStr">
        <is>
          <t>Diameter</t>
        </is>
      </c>
      <c r="D68" s="3" t="inlineStr">
        <is>
          <t>Diameter of Binary Tree</t>
        </is>
      </c>
      <c r="E68" s="9" t="inlineStr">
        <is>
          <t>Easy-Medium</t>
        </is>
      </c>
      <c r="F68" s="2" t="inlineStr">
        <is>
          <t>LeetCode</t>
        </is>
      </c>
      <c r="G68" s="5" t="inlineStr">
        <is>
          <t>https://leetcode.com/problems/diameter-of-binary-tree/</t>
        </is>
      </c>
      <c r="H68" s="2" t="inlineStr">
        <is>
          <t>Similar</t>
        </is>
      </c>
      <c r="I68" s="2" t="inlineStr">
        <is>
          <t>Yes</t>
        </is>
      </c>
      <c r="J68" s="7" t="inlineStr">
        <is>
          <t>Medium</t>
        </is>
      </c>
      <c r="K68" s="2" t="n"/>
    </row>
    <row r="69" ht="15.75" customHeight="1" s="18">
      <c r="A69" s="2" t="n">
        <v>68</v>
      </c>
      <c r="B69" s="3" t="inlineStr">
        <is>
          <t>Trees</t>
        </is>
      </c>
      <c r="C69" s="3" t="inlineStr">
        <is>
          <t>Recursion</t>
        </is>
      </c>
      <c r="D69" s="3" t="inlineStr">
        <is>
          <t>Invert Binary Tree</t>
        </is>
      </c>
      <c r="E69" s="4" t="inlineStr">
        <is>
          <t>Easy</t>
        </is>
      </c>
      <c r="F69" s="2" t="inlineStr">
        <is>
          <t>LeetCode</t>
        </is>
      </c>
      <c r="G69" s="5" t="inlineStr">
        <is>
          <t>https://leetcode.com/problems/invert-binary-tree/</t>
        </is>
      </c>
      <c r="H69" s="2" t="inlineStr">
        <is>
          <t>Similar</t>
        </is>
      </c>
      <c r="I69" s="2" t="inlineStr">
        <is>
          <t>Yes</t>
        </is>
      </c>
      <c r="J69" s="7" t="inlineStr">
        <is>
          <t>Medium</t>
        </is>
      </c>
      <c r="K69" s="2" t="n"/>
    </row>
    <row r="70" ht="15.75" customHeight="1" s="18">
      <c r="A70" s="2" t="n">
        <v>69</v>
      </c>
      <c r="B70" s="3" t="inlineStr">
        <is>
          <t>Trees</t>
        </is>
      </c>
      <c r="C70" s="3" t="inlineStr">
        <is>
          <t>Symmetry Check</t>
        </is>
      </c>
      <c r="D70" s="3" t="inlineStr">
        <is>
          <t>Symmetric Tree</t>
        </is>
      </c>
      <c r="E70" s="4" t="inlineStr">
        <is>
          <t>Easy</t>
        </is>
      </c>
      <c r="F70" s="2" t="inlineStr">
        <is>
          <t>LeetCode</t>
        </is>
      </c>
      <c r="G70" s="5" t="inlineStr">
        <is>
          <t>https://leetcode.com/problems/symmetric-tree/</t>
        </is>
      </c>
      <c r="H70" s="2" t="inlineStr">
        <is>
          <t>Similar</t>
        </is>
      </c>
      <c r="I70" s="2" t="inlineStr">
        <is>
          <t>Yes</t>
        </is>
      </c>
      <c r="J70" s="7" t="inlineStr">
        <is>
          <t>Medium</t>
        </is>
      </c>
      <c r="K70" s="2" t="n"/>
    </row>
    <row r="71" ht="15.75" customHeight="1" s="18">
      <c r="A71" s="2" t="n">
        <v>70</v>
      </c>
      <c r="B71" s="3" t="inlineStr">
        <is>
          <t>Trees</t>
        </is>
      </c>
      <c r="C71" s="3" t="inlineStr">
        <is>
          <t>Path Sum</t>
        </is>
      </c>
      <c r="D71" s="3" t="inlineStr">
        <is>
          <t>Path Sum</t>
        </is>
      </c>
      <c r="E71" s="4" t="inlineStr">
        <is>
          <t>Easy</t>
        </is>
      </c>
      <c r="F71" s="2" t="inlineStr">
        <is>
          <t>LeetCode</t>
        </is>
      </c>
      <c r="G71" s="5" t="inlineStr">
        <is>
          <t>https://leetcode.com/problems/path-sum/</t>
        </is>
      </c>
      <c r="H71" s="2" t="inlineStr">
        <is>
          <t>Similar</t>
        </is>
      </c>
      <c r="I71" s="2" t="inlineStr">
        <is>
          <t>Yes</t>
        </is>
      </c>
      <c r="J71" s="7" t="inlineStr">
        <is>
          <t>Medium</t>
        </is>
      </c>
      <c r="K71" s="2" t="n"/>
    </row>
    <row r="72" ht="15.75" customHeight="1" s="18">
      <c r="A72" s="2" t="n">
        <v>71</v>
      </c>
      <c r="B72" s="3" t="inlineStr">
        <is>
          <t>Binary Search Trees</t>
        </is>
      </c>
      <c r="C72" s="3" t="inlineStr">
        <is>
          <t>Validation</t>
        </is>
      </c>
      <c r="D72" s="3" t="inlineStr">
        <is>
          <t>Validate Binary Search Tree</t>
        </is>
      </c>
      <c r="E72" s="8" t="inlineStr">
        <is>
          <t>Medium</t>
        </is>
      </c>
      <c r="F72" s="2" t="inlineStr">
        <is>
          <t>LeetCode</t>
        </is>
      </c>
      <c r="G72" s="5" t="inlineStr">
        <is>
          <t>https://leetcode.com/problems/validate-binary-search-tree/</t>
        </is>
      </c>
      <c r="H72" s="2" t="inlineStr">
        <is>
          <t>Similar</t>
        </is>
      </c>
      <c r="I72" s="2" t="inlineStr">
        <is>
          <t>Yes</t>
        </is>
      </c>
      <c r="J72" s="7" t="inlineStr">
        <is>
          <t>Medium</t>
        </is>
      </c>
      <c r="K72" s="2" t="n"/>
    </row>
    <row r="73" ht="15.75" customHeight="1" s="18">
      <c r="A73" s="2" t="n">
        <v>72</v>
      </c>
      <c r="B73" s="3" t="inlineStr">
        <is>
          <t>Binary Search Trees</t>
        </is>
      </c>
      <c r="C73" s="3" t="inlineStr">
        <is>
          <t>Lowest Common Ancestor</t>
        </is>
      </c>
      <c r="D73" s="3" t="inlineStr">
        <is>
          <t>Lowest Common Ancestor of a Binary Search Tree</t>
        </is>
      </c>
      <c r="E73" s="9" t="inlineStr">
        <is>
          <t>Easy-Medium</t>
        </is>
      </c>
      <c r="F73" s="2" t="inlineStr">
        <is>
          <t>LeetCode</t>
        </is>
      </c>
      <c r="G73" s="5" t="inlineStr">
        <is>
          <t>https://leetcode.com/problems/lowest-common-ancestor-of-a-binary-search-tree/</t>
        </is>
      </c>
      <c r="H73" s="2" t="inlineStr">
        <is>
          <t>Similar</t>
        </is>
      </c>
      <c r="I73" s="2" t="inlineStr">
        <is>
          <t>Yes</t>
        </is>
      </c>
      <c r="J73" s="7" t="inlineStr">
        <is>
          <t>Medium</t>
        </is>
      </c>
      <c r="K73" s="2" t="n"/>
    </row>
    <row r="74" ht="15.75" customHeight="1" s="18">
      <c r="A74" s="2" t="n">
        <v>73</v>
      </c>
      <c r="B74" s="3" t="inlineStr">
        <is>
          <t>Pattern-based Logic</t>
        </is>
      </c>
      <c r="C74" s="3" t="inlineStr">
        <is>
          <t>Pattern Printing</t>
        </is>
      </c>
      <c r="D74" s="3" t="inlineStr">
        <is>
          <t>Star / Number Pattern Printing</t>
        </is>
      </c>
      <c r="E74" s="4" t="inlineStr">
        <is>
          <t>Easy</t>
        </is>
      </c>
      <c r="F74" s="2" t="inlineStr">
        <is>
          <t>GeeksforGeeks</t>
        </is>
      </c>
      <c r="G74" s="5" t="inlineStr">
        <is>
          <t>https://www.geeksforgeeks.org/printing-patterns-using-loops/</t>
        </is>
      </c>
      <c r="H74" s="2" t="inlineStr">
        <is>
          <t>Community Report</t>
        </is>
      </c>
      <c r="I74" s="2" t="inlineStr">
        <is>
          <t>Yes</t>
        </is>
      </c>
      <c r="J74" s="6" t="inlineStr">
        <is>
          <t>High</t>
        </is>
      </c>
      <c r="K74" s="2" t="n"/>
    </row>
    <row r="75" ht="15.75" customHeight="1" s="18">
      <c r="A75" s="2" t="n">
        <v>74</v>
      </c>
      <c r="B75" s="3" t="inlineStr">
        <is>
          <t>Heap / Priority Queue</t>
        </is>
      </c>
      <c r="C75" s="3" t="inlineStr">
        <is>
          <t>Kth Largest</t>
        </is>
      </c>
      <c r="D75" s="3" t="inlineStr">
        <is>
          <t>Kth Largest Element in a Stream</t>
        </is>
      </c>
      <c r="E75" s="4" t="inlineStr">
        <is>
          <t>Easy</t>
        </is>
      </c>
      <c r="F75" s="2" t="inlineStr">
        <is>
          <t>LeetCode</t>
        </is>
      </c>
      <c r="G75" s="5" t="inlineStr">
        <is>
          <t>https://leetcode.com/problems/kth-largest-element-in-a-stream/</t>
        </is>
      </c>
      <c r="H75" s="2" t="inlineStr">
        <is>
          <t>Similar</t>
        </is>
      </c>
      <c r="I75" s="2" t="inlineStr">
        <is>
          <t>Yes</t>
        </is>
      </c>
      <c r="J75" s="7" t="inlineStr">
        <is>
          <t>Medium</t>
        </is>
      </c>
      <c r="K75" s="2" t="n"/>
    </row>
    <row r="76" ht="15.75" customHeight="1" s="18">
      <c r="A76" s="2" t="n">
        <v>75</v>
      </c>
      <c r="B76" s="3" t="inlineStr">
        <is>
          <t>Heap / Priority Queue</t>
        </is>
      </c>
      <c r="C76" s="3" t="inlineStr">
        <is>
          <t>Merge</t>
        </is>
      </c>
      <c r="D76" s="3" t="inlineStr">
        <is>
          <t>Merge k Sorted Lists</t>
        </is>
      </c>
      <c r="E76" s="8" t="inlineStr">
        <is>
          <t>Medium</t>
        </is>
      </c>
      <c r="F76" s="2" t="inlineStr">
        <is>
          <t>LeetCode</t>
        </is>
      </c>
      <c r="G76" s="5" t="inlineStr">
        <is>
          <t>https://leetcode.com/problems/merge-k-sorted-lists/</t>
        </is>
      </c>
      <c r="H76" s="2" t="inlineStr">
        <is>
          <t>Similar</t>
        </is>
      </c>
      <c r="I76" s="2" t="inlineStr">
        <is>
          <t>Yes</t>
        </is>
      </c>
      <c r="J76" s="10" t="inlineStr">
        <is>
          <t>Low</t>
        </is>
      </c>
      <c r="K76" s="2" t="n"/>
    </row>
    <row r="77" ht="15.75" customHeight="1" s="18">
      <c r="A77" s="2" t="n">
        <v>76</v>
      </c>
      <c r="B77" s="3" t="inlineStr">
        <is>
          <t>Heap / Priority Queue</t>
        </is>
      </c>
      <c r="C77" s="3" t="inlineStr">
        <is>
          <t>Top K</t>
        </is>
      </c>
      <c r="D77" s="3" t="inlineStr">
        <is>
          <t>Top K Frequent Words</t>
        </is>
      </c>
      <c r="E77" s="8" t="inlineStr">
        <is>
          <t>Medium</t>
        </is>
      </c>
      <c r="F77" s="2" t="inlineStr">
        <is>
          <t>LeetCode</t>
        </is>
      </c>
      <c r="G77" s="5" t="inlineStr">
        <is>
          <t>https://leetcode.com/problems/top-k-frequent-words/</t>
        </is>
      </c>
      <c r="H77" s="2" t="inlineStr">
        <is>
          <t>Similar</t>
        </is>
      </c>
      <c r="I77" s="2" t="inlineStr">
        <is>
          <t>Yes</t>
        </is>
      </c>
      <c r="J77" s="7" t="inlineStr">
        <is>
          <t>Medium</t>
        </is>
      </c>
      <c r="K77" s="2" t="n"/>
    </row>
    <row r="78" ht="15.75" customHeight="1" s="18">
      <c r="A78" s="2" t="n">
        <v>77</v>
      </c>
      <c r="B78" s="3" t="inlineStr">
        <is>
          <t>Greedy Algorithms</t>
        </is>
      </c>
      <c r="C78" s="3" t="inlineStr">
        <is>
          <t>Jump Game</t>
        </is>
      </c>
      <c r="D78" s="3" t="inlineStr">
        <is>
          <t>Jump Game</t>
        </is>
      </c>
      <c r="E78" s="8" t="inlineStr">
        <is>
          <t>Medium</t>
        </is>
      </c>
      <c r="F78" s="2" t="inlineStr">
        <is>
          <t>LeetCode</t>
        </is>
      </c>
      <c r="G78" s="5" t="inlineStr">
        <is>
          <t>https://leetcode.com/problems/jump-game/</t>
        </is>
      </c>
      <c r="H78" s="2" t="inlineStr">
        <is>
          <t>Similar</t>
        </is>
      </c>
      <c r="I78" s="2" t="inlineStr">
        <is>
          <t>Yes</t>
        </is>
      </c>
      <c r="J78" s="7" t="inlineStr">
        <is>
          <t>Medium</t>
        </is>
      </c>
      <c r="K78" s="2" t="n"/>
    </row>
    <row r="79" ht="15.75" customHeight="1" s="18">
      <c r="A79" s="2" t="n">
        <v>78</v>
      </c>
      <c r="B79" s="3" t="inlineStr">
        <is>
          <t>Greedy Algorithms</t>
        </is>
      </c>
      <c r="C79" s="3" t="inlineStr">
        <is>
          <t>Interval Scheduling</t>
        </is>
      </c>
      <c r="D79" s="3" t="inlineStr">
        <is>
          <t>Non-overlapping Intervals</t>
        </is>
      </c>
      <c r="E79" s="8" t="inlineStr">
        <is>
          <t>Medium</t>
        </is>
      </c>
      <c r="F79" s="2" t="inlineStr">
        <is>
          <t>LeetCode</t>
        </is>
      </c>
      <c r="G79" s="5" t="inlineStr">
        <is>
          <t>https://leetcode.com/problems/non-overlapping-intervals/</t>
        </is>
      </c>
      <c r="H79" s="2" t="inlineStr">
        <is>
          <t>Similar</t>
        </is>
      </c>
      <c r="I79" s="2" t="inlineStr">
        <is>
          <t>Yes</t>
        </is>
      </c>
      <c r="J79" s="7" t="inlineStr">
        <is>
          <t>Medium</t>
        </is>
      </c>
      <c r="K79" s="2" t="n"/>
    </row>
    <row r="80" ht="15.75" customHeight="1" s="18">
      <c r="A80" s="2" t="n">
        <v>79</v>
      </c>
      <c r="B80" s="3" t="inlineStr">
        <is>
          <t>Simulation</t>
        </is>
      </c>
      <c r="C80" s="3" t="inlineStr">
        <is>
          <t>Grid Simulation</t>
        </is>
      </c>
      <c r="D80" s="3" t="inlineStr">
        <is>
          <t>Robot Return to Origin</t>
        </is>
      </c>
      <c r="E80" s="4" t="inlineStr">
        <is>
          <t>Easy</t>
        </is>
      </c>
      <c r="F80" s="2" t="inlineStr">
        <is>
          <t>LeetCode</t>
        </is>
      </c>
      <c r="G80" s="5" t="inlineStr">
        <is>
          <t>https://leetcode.com/problems/robot-return-to-origin/</t>
        </is>
      </c>
      <c r="H80" s="2" t="inlineStr">
        <is>
          <t>Similar</t>
        </is>
      </c>
      <c r="I80" s="2" t="inlineStr">
        <is>
          <t>Yes</t>
        </is>
      </c>
      <c r="J80" s="7" t="inlineStr">
        <is>
          <t>Medium</t>
        </is>
      </c>
      <c r="K80" s="2" t="n"/>
    </row>
    <row r="81" ht="15.75" customHeight="1" s="18">
      <c r="A81" s="2" t="n">
        <v>80</v>
      </c>
      <c r="B81" s="3" t="inlineStr">
        <is>
          <t>Dynamic Programming</t>
        </is>
      </c>
      <c r="C81" s="3" t="inlineStr">
        <is>
          <t>1D DP</t>
        </is>
      </c>
      <c r="D81" s="3" t="inlineStr">
        <is>
          <t>Climbing Stairs</t>
        </is>
      </c>
      <c r="E81" s="4" t="inlineStr">
        <is>
          <t>Easy</t>
        </is>
      </c>
      <c r="F81" s="2" t="inlineStr">
        <is>
          <t>LeetCode</t>
        </is>
      </c>
      <c r="G81" s="5" t="inlineStr">
        <is>
          <t>https://leetcode.com/problems/climbing-stairs/</t>
        </is>
      </c>
      <c r="H81" s="2" t="inlineStr">
        <is>
          <t>Community Report</t>
        </is>
      </c>
      <c r="I81" s="2" t="inlineStr">
        <is>
          <t>Yes</t>
        </is>
      </c>
      <c r="J81" s="6" t="inlineStr">
        <is>
          <t>High</t>
        </is>
      </c>
      <c r="K81" s="2" t="n"/>
    </row>
    <row r="82" ht="15.75" customHeight="1" s="18">
      <c r="A82" s="2" t="n">
        <v>81</v>
      </c>
      <c r="B82" s="3" t="inlineStr">
        <is>
          <t>Dynamic Programming</t>
        </is>
      </c>
      <c r="C82" s="3" t="inlineStr">
        <is>
          <t>1D DP</t>
        </is>
      </c>
      <c r="D82" s="3" t="inlineStr">
        <is>
          <t>House Robber</t>
        </is>
      </c>
      <c r="E82" s="8" t="inlineStr">
        <is>
          <t>Medium</t>
        </is>
      </c>
      <c r="F82" s="2" t="inlineStr">
        <is>
          <t>LeetCode</t>
        </is>
      </c>
      <c r="G82" s="5" t="inlineStr">
        <is>
          <t>https://leetcode.com/problems/house-robber/</t>
        </is>
      </c>
      <c r="H82" s="2" t="inlineStr">
        <is>
          <t>Community Report</t>
        </is>
      </c>
      <c r="I82" s="2" t="inlineStr">
        <is>
          <t>Yes</t>
        </is>
      </c>
      <c r="J82" s="6" t="inlineStr">
        <is>
          <t>High</t>
        </is>
      </c>
      <c r="K82" s="2" t="n"/>
    </row>
    <row r="83" ht="15.75" customHeight="1" s="18">
      <c r="A83" s="2" t="n">
        <v>82</v>
      </c>
      <c r="B83" s="3" t="inlineStr">
        <is>
          <t>Dynamic Programming</t>
        </is>
      </c>
      <c r="C83" s="3" t="inlineStr">
        <is>
          <t>Coin Change</t>
        </is>
      </c>
      <c r="D83" s="3" t="inlineStr">
        <is>
          <t>Coin Change</t>
        </is>
      </c>
      <c r="E83" s="8" t="inlineStr">
        <is>
          <t>Medium</t>
        </is>
      </c>
      <c r="F83" s="2" t="inlineStr">
        <is>
          <t>LeetCode</t>
        </is>
      </c>
      <c r="G83" s="5" t="inlineStr">
        <is>
          <t>https://leetcode.com/problems/coin-change/</t>
        </is>
      </c>
      <c r="H83" s="2" t="inlineStr">
        <is>
          <t>Similar</t>
        </is>
      </c>
      <c r="I83" s="2" t="inlineStr">
        <is>
          <t>Yes</t>
        </is>
      </c>
      <c r="J83" s="7" t="inlineStr">
        <is>
          <t>Medium</t>
        </is>
      </c>
      <c r="K83" s="2" t="n"/>
    </row>
    <row r="84" ht="15.75" customHeight="1" s="18">
      <c r="A84" s="2" t="n">
        <v>83</v>
      </c>
      <c r="B84" s="3" t="inlineStr">
        <is>
          <t>Dynamic Programming</t>
        </is>
      </c>
      <c r="C84" s="3" t="inlineStr">
        <is>
          <t>Subsequence</t>
        </is>
      </c>
      <c r="D84" s="3" t="inlineStr">
        <is>
          <t>Longest Increasing Subsequence</t>
        </is>
      </c>
      <c r="E84" s="8" t="inlineStr">
        <is>
          <t>Medium</t>
        </is>
      </c>
      <c r="F84" s="2" t="inlineStr">
        <is>
          <t>LeetCode</t>
        </is>
      </c>
      <c r="G84" s="5" t="inlineStr">
        <is>
          <t>https://leetcode.com/problems/longest-increasing-subsequence/</t>
        </is>
      </c>
      <c r="H84" s="2" t="inlineStr">
        <is>
          <t>Similar</t>
        </is>
      </c>
      <c r="I84" s="2" t="inlineStr">
        <is>
          <t>Yes</t>
        </is>
      </c>
      <c r="J84" s="7" t="inlineStr">
        <is>
          <t>Medium</t>
        </is>
      </c>
      <c r="K84" s="2" t="n"/>
    </row>
    <row r="85" ht="15.75" customHeight="1" s="18">
      <c r="A85" s="2" t="n">
        <v>84</v>
      </c>
      <c r="B85" s="3" t="inlineStr">
        <is>
          <t>Dynamic Programming</t>
        </is>
      </c>
      <c r="C85" s="3" t="inlineStr">
        <is>
          <t>Grid DP</t>
        </is>
      </c>
      <c r="D85" s="3" t="inlineStr">
        <is>
          <t>Unique Paths</t>
        </is>
      </c>
      <c r="E85" s="8" t="inlineStr">
        <is>
          <t>Medium</t>
        </is>
      </c>
      <c r="F85" s="2" t="inlineStr">
        <is>
          <t>LeetCode</t>
        </is>
      </c>
      <c r="G85" s="5" t="inlineStr">
        <is>
          <t>https://leetcode.com/problems/unique-paths/</t>
        </is>
      </c>
      <c r="H85" s="2" t="inlineStr">
        <is>
          <t>Similar</t>
        </is>
      </c>
      <c r="I85" s="2" t="inlineStr">
        <is>
          <t>Yes</t>
        </is>
      </c>
      <c r="J85" s="7" t="inlineStr">
        <is>
          <t>Medium</t>
        </is>
      </c>
      <c r="K85" s="2" t="n"/>
    </row>
    <row r="86" ht="15.75" customHeight="1" s="18">
      <c r="A86" s="2" t="n">
        <v>85</v>
      </c>
      <c r="B86" s="3" t="inlineStr">
        <is>
          <t>Graph Basics</t>
        </is>
      </c>
      <c r="C86" s="3" t="inlineStr">
        <is>
          <t>Flood Fill</t>
        </is>
      </c>
      <c r="D86" s="3" t="inlineStr">
        <is>
          <t>Flood Fill</t>
        </is>
      </c>
      <c r="E86" s="4" t="inlineStr">
        <is>
          <t>Easy</t>
        </is>
      </c>
      <c r="F86" s="2" t="inlineStr">
        <is>
          <t>LeetCode</t>
        </is>
      </c>
      <c r="G86" s="5" t="inlineStr">
        <is>
          <t>https://leetcode.com/problems/flood-fill/</t>
        </is>
      </c>
      <c r="H86" s="2" t="inlineStr">
        <is>
          <t>Community Report</t>
        </is>
      </c>
      <c r="I86" s="2" t="inlineStr">
        <is>
          <t>Yes</t>
        </is>
      </c>
      <c r="J86" s="6" t="inlineStr">
        <is>
          <t>High</t>
        </is>
      </c>
      <c r="K86" s="2" t="n"/>
    </row>
    <row r="87" ht="15.75" customHeight="1" s="18">
      <c r="A87" s="2" t="n">
        <v>86</v>
      </c>
      <c r="B87" s="3" t="inlineStr">
        <is>
          <t>Graph Basics</t>
        </is>
      </c>
      <c r="C87" s="3" t="inlineStr">
        <is>
          <t>Islands / DFS</t>
        </is>
      </c>
      <c r="D87" s="3" t="inlineStr">
        <is>
          <t>Number of Islands</t>
        </is>
      </c>
      <c r="E87" s="8" t="inlineStr">
        <is>
          <t>Medium</t>
        </is>
      </c>
      <c r="F87" s="2" t="inlineStr">
        <is>
          <t>LeetCode</t>
        </is>
      </c>
      <c r="G87" s="5" t="inlineStr">
        <is>
          <t>https://leetcode.com/problems/number-of-islands/</t>
        </is>
      </c>
      <c r="H87" s="2" t="inlineStr">
        <is>
          <t>Community Report</t>
        </is>
      </c>
      <c r="I87" s="2" t="inlineStr">
        <is>
          <t>Yes</t>
        </is>
      </c>
      <c r="J87" s="6" t="inlineStr">
        <is>
          <t>High</t>
        </is>
      </c>
      <c r="K87" s="2" t="n"/>
    </row>
    <row r="88" ht="15.75" customHeight="1" s="18">
      <c r="A88" s="2" t="n">
        <v>87</v>
      </c>
      <c r="B88" s="3" t="inlineStr">
        <is>
          <t>Graph Basics</t>
        </is>
      </c>
      <c r="C88" s="3" t="inlineStr">
        <is>
          <t>BFS</t>
        </is>
      </c>
      <c r="D88" s="3" t="inlineStr">
        <is>
          <t>Rotting Oranges</t>
        </is>
      </c>
      <c r="E88" s="8" t="inlineStr">
        <is>
          <t>Medium</t>
        </is>
      </c>
      <c r="F88" s="2" t="inlineStr">
        <is>
          <t>LeetCode</t>
        </is>
      </c>
      <c r="G88" s="5" t="inlineStr">
        <is>
          <t>https://leetcode.com/problems/rotting-oranges/</t>
        </is>
      </c>
      <c r="H88" s="2" t="inlineStr">
        <is>
          <t>Similar</t>
        </is>
      </c>
      <c r="I88" s="2" t="inlineStr">
        <is>
          <t>Yes</t>
        </is>
      </c>
      <c r="J88" s="7" t="inlineStr">
        <is>
          <t>Medium</t>
        </is>
      </c>
      <c r="K88" s="2" t="n"/>
    </row>
    <row r="89" ht="15.75" customHeight="1" s="18">
      <c r="A89" s="2" t="n">
        <v>88</v>
      </c>
      <c r="B89" s="3" t="inlineStr">
        <is>
          <t>Graph Basics</t>
        </is>
      </c>
      <c r="C89" s="3" t="inlineStr">
        <is>
          <t>DFS</t>
        </is>
      </c>
      <c r="D89" s="3" t="inlineStr">
        <is>
          <t>Clone Graph</t>
        </is>
      </c>
      <c r="E89" s="8" t="inlineStr">
        <is>
          <t>Medium</t>
        </is>
      </c>
      <c r="F89" s="2" t="inlineStr">
        <is>
          <t>LeetCode</t>
        </is>
      </c>
      <c r="G89" s="5" t="inlineStr">
        <is>
          <t>https://leetcode.com/problems/clone-graph/</t>
        </is>
      </c>
      <c r="H89" s="2" t="inlineStr">
        <is>
          <t>Similar</t>
        </is>
      </c>
      <c r="I89" s="2" t="inlineStr">
        <is>
          <t>Yes</t>
        </is>
      </c>
      <c r="J89" s="10" t="inlineStr">
        <is>
          <t>Low</t>
        </is>
      </c>
      <c r="K89" s="2" t="n"/>
    </row>
    <row r="90" ht="15.75" customHeight="1" s="18">
      <c r="A90" s="2" t="n">
        <v>89</v>
      </c>
      <c r="B90" s="3" t="inlineStr">
        <is>
          <t>Mathematics</t>
        </is>
      </c>
      <c r="C90" s="3" t="inlineStr">
        <is>
          <t>Number Reversal</t>
        </is>
      </c>
      <c r="D90" s="3" t="inlineStr">
        <is>
          <t>Palindrome Number</t>
        </is>
      </c>
      <c r="E90" s="4" t="inlineStr">
        <is>
          <t>Easy</t>
        </is>
      </c>
      <c r="F90" s="2" t="inlineStr">
        <is>
          <t>LeetCode</t>
        </is>
      </c>
      <c r="G90" s="5" t="inlineStr">
        <is>
          <t>https://leetcode.com/problems/palindrome-number/</t>
        </is>
      </c>
      <c r="H90" s="2" t="inlineStr">
        <is>
          <t>Community Report</t>
        </is>
      </c>
      <c r="I90" s="2" t="inlineStr">
        <is>
          <t>Yes</t>
        </is>
      </c>
      <c r="J90" s="6" t="inlineStr">
        <is>
          <t>High</t>
        </is>
      </c>
      <c r="K90" s="2" t="n"/>
    </row>
    <row r="91" ht="15.75" customHeight="1" s="18">
      <c r="A91" s="2" t="n">
        <v>90</v>
      </c>
      <c r="B91" s="3" t="inlineStr">
        <is>
          <t>Bit Manipulation</t>
        </is>
      </c>
      <c r="C91" s="3" t="inlineStr">
        <is>
          <t>Bit Counting DP</t>
        </is>
      </c>
      <c r="D91" s="3" t="inlineStr">
        <is>
          <t>Counting Bits</t>
        </is>
      </c>
      <c r="E91" s="4" t="inlineStr">
        <is>
          <t>Easy</t>
        </is>
      </c>
      <c r="F91" s="2" t="inlineStr">
        <is>
          <t>LeetCode</t>
        </is>
      </c>
      <c r="G91" s="5" t="inlineStr">
        <is>
          <t>https://leetcode.com/problems/counting-bits/</t>
        </is>
      </c>
      <c r="H91" s="2" t="inlineStr">
        <is>
          <t>Similar</t>
        </is>
      </c>
      <c r="I91" s="2" t="inlineStr">
        <is>
          <t>Yes</t>
        </is>
      </c>
      <c r="J91" s="10" t="inlineStr">
        <is>
          <t>Low</t>
        </is>
      </c>
      <c r="K91" s="2" t="n"/>
    </row>
    <row r="92" ht="15.75" customHeight="1" s="18">
      <c r="A92" s="2" t="n">
        <v>91</v>
      </c>
      <c r="B92" s="3" t="inlineStr">
        <is>
          <t>Number Theory</t>
        </is>
      </c>
      <c r="C92" s="3" t="inlineStr">
        <is>
          <t>Sieve of Eratosthenes</t>
        </is>
      </c>
      <c r="D92" s="3" t="inlineStr">
        <is>
          <t>Count Primes</t>
        </is>
      </c>
      <c r="E92" s="8" t="inlineStr">
        <is>
          <t>Medium</t>
        </is>
      </c>
      <c r="F92" s="2" t="inlineStr">
        <is>
          <t>LeetCode</t>
        </is>
      </c>
      <c r="G92" s="5" t="inlineStr">
        <is>
          <t>https://leetcode.com/problems/count-primes/</t>
        </is>
      </c>
      <c r="H92" s="2" t="inlineStr">
        <is>
          <t>Community Report</t>
        </is>
      </c>
      <c r="I92" s="2" t="inlineStr">
        <is>
          <t>Yes</t>
        </is>
      </c>
      <c r="J92" s="6" t="inlineStr">
        <is>
          <t>High</t>
        </is>
      </c>
      <c r="K92" s="2" t="n"/>
    </row>
    <row r="93" ht="15.75" customHeight="1" s="18">
      <c r="A93" s="2" t="n">
        <v>92</v>
      </c>
      <c r="B93" s="3" t="inlineStr">
        <is>
          <t>Miscellaneous</t>
        </is>
      </c>
      <c r="C93" s="3" t="inlineStr">
        <is>
          <t>String Math</t>
        </is>
      </c>
      <c r="D93" s="3" t="inlineStr">
        <is>
          <t>Greatest Common Divisor of Strings</t>
        </is>
      </c>
      <c r="E93" s="4" t="inlineStr">
        <is>
          <t>Easy</t>
        </is>
      </c>
      <c r="F93" s="2" t="inlineStr">
        <is>
          <t>LeetCode</t>
        </is>
      </c>
      <c r="G93" s="5" t="inlineStr">
        <is>
          <t>https://leetcode.com/problems/greatest-common-divisor-of-strings/</t>
        </is>
      </c>
      <c r="H93" s="2" t="inlineStr">
        <is>
          <t>Similar</t>
        </is>
      </c>
      <c r="I93" s="2" t="inlineStr">
        <is>
          <t>Yes</t>
        </is>
      </c>
      <c r="J93" s="7" t="inlineStr">
        <is>
          <t>Medium</t>
        </is>
      </c>
      <c r="K93" s="2" t="n"/>
    </row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hyperlinks>
    <hyperlink xmlns:r="http://schemas.openxmlformats.org/officeDocument/2006/relationships" ref="G3" display="https://leetcode.com/problems/contains-duplicate/" r:id="rId1"/>
    <hyperlink xmlns:r="http://schemas.openxmlformats.org/officeDocument/2006/relationships" ref="G7" display="https://leetcode.com/problems/maximum-subarray/" r:id="rId2"/>
    <hyperlink xmlns:r="http://schemas.openxmlformats.org/officeDocument/2006/relationships" ref="G9" display="https://leetcode.com/problems/product-of-array-except-self/" r:id="rId3"/>
    <hyperlink xmlns:r="http://schemas.openxmlformats.org/officeDocument/2006/relationships" ref="G10" display="https://leetcode.com/problems/merge-sorted-array/" r:id="rId4"/>
    <hyperlink xmlns:r="http://schemas.openxmlformats.org/officeDocument/2006/relationships" ref="G11" display="https://leetcode.com/problems/sort-colors/" r:id="rId5"/>
    <hyperlink xmlns:r="http://schemas.openxmlformats.org/officeDocument/2006/relationships" ref="G12" display="https://leetcode.com/problems/missing-number/" r:id="rId6"/>
    <hyperlink xmlns:r="http://schemas.openxmlformats.org/officeDocument/2006/relationships" ref="G13" display="https://www.geeksforgeeks.org/c-program-to-check-armstrong-number/" r:id="rId7"/>
    <hyperlink xmlns:r="http://schemas.openxmlformats.org/officeDocument/2006/relationships" ref="G14" display="https://leetcode.com/problems/valid-anagram/" r:id="rId8"/>
    <hyperlink xmlns:r="http://schemas.openxmlformats.org/officeDocument/2006/relationships" ref="G15" display="https://leetcode.com/problems/valid-palindrome/" r:id="rId9"/>
    <hyperlink xmlns:r="http://schemas.openxmlformats.org/officeDocument/2006/relationships" ref="G16" display="https://leetcode.com/problems/reverse-words-in-a-string/" r:id="rId10"/>
    <hyperlink xmlns:r="http://schemas.openxmlformats.org/officeDocument/2006/relationships" ref="G17" display="https://leetcode.com/problems/longest-substring-without-repeating-characters/" r:id="rId11"/>
    <hyperlink xmlns:r="http://schemas.openxmlformats.org/officeDocument/2006/relationships" ref="G18" display="https://leetcode.com/problems/string-compression/" r:id="rId12"/>
    <hyperlink xmlns:r="http://schemas.openxmlformats.org/officeDocument/2006/relationships" ref="G19" display="https://leetcode.com/problems/roman-to-integer/" r:id="rId13"/>
    <hyperlink xmlns:r="http://schemas.openxmlformats.org/officeDocument/2006/relationships" ref="G20" display="https://www.geeksforgeeks.org/c-program-for-basic-euclidean-algorithms/" r:id="rId14"/>
    <hyperlink xmlns:r="http://schemas.openxmlformats.org/officeDocument/2006/relationships" ref="G21" display="https://leetcode.com/problems/group-anagrams/" r:id="rId15"/>
    <hyperlink xmlns:r="http://schemas.openxmlformats.org/officeDocument/2006/relationships" ref="G22" display="https://leetcode.com/problems/first-unique-character-in-a-string/" r:id="rId16"/>
    <hyperlink xmlns:r="http://schemas.openxmlformats.org/officeDocument/2006/relationships" ref="G23" display="https://leetcode.com/problems/longest-common-prefix/" r:id="rId17"/>
    <hyperlink xmlns:r="http://schemas.openxmlformats.org/officeDocument/2006/relationships" ref="G24" display="https://leetcode.com/problems/majority-element-ii/" r:id="rId18"/>
    <hyperlink xmlns:r="http://schemas.openxmlformats.org/officeDocument/2006/relationships" ref="G25" display="https://leetcode.com/problems/top-k-frequent-elements/" r:id="rId19"/>
    <hyperlink xmlns:r="http://schemas.openxmlformats.org/officeDocument/2006/relationships" ref="G26" display="https://leetcode.com/problems/intersection-of-two-arrays/" r:id="rId20"/>
    <hyperlink xmlns:r="http://schemas.openxmlformats.org/officeDocument/2006/relationships" ref="G27" display="https://leetcode.com/problems/subarray-sum-equals-k/" r:id="rId21"/>
    <hyperlink xmlns:r="http://schemas.openxmlformats.org/officeDocument/2006/relationships" ref="G28" display="https://leetcode.com/problems/longest-consecutive-sequence/" r:id="rId22"/>
    <hyperlink xmlns:r="http://schemas.openxmlformats.org/officeDocument/2006/relationships" ref="G29" display="https://leetcode.com/problems/merge-intervals/" r:id="rId23"/>
    <hyperlink xmlns:r="http://schemas.openxmlformats.org/officeDocument/2006/relationships" ref="G30" display="https://leetcode.com/problems/sort-an-array/" r:id="rId24"/>
    <hyperlink xmlns:r="http://schemas.openxmlformats.org/officeDocument/2006/relationships" ref="G31" display="https://leetcode.com/problems/kth-largest-element-in-an-array/" r:id="rId25"/>
    <hyperlink xmlns:r="http://schemas.openxmlformats.org/officeDocument/2006/relationships" ref="G32" display="https://leetcode.com/problems/meeting-rooms/" r:id="rId26"/>
    <hyperlink xmlns:r="http://schemas.openxmlformats.org/officeDocument/2006/relationships" ref="G33" display="https://leetcode.com/problems/binary-search/" r:id="rId27"/>
    <hyperlink xmlns:r="http://schemas.openxmlformats.org/officeDocument/2006/relationships" ref="G34" display="https://leetcode.com/problems/search-insert-position/" r:id="rId28"/>
    <hyperlink xmlns:r="http://schemas.openxmlformats.org/officeDocument/2006/relationships" ref="G35" display="https://leetcode.com/problems/first-bad-version/" r:id="rId29"/>
    <hyperlink xmlns:r="http://schemas.openxmlformats.org/officeDocument/2006/relationships" ref="G36" display="https://leetcode.com/problems/search-in-rotated-sorted-array/" r:id="rId30"/>
    <hyperlink xmlns:r="http://schemas.openxmlformats.org/officeDocument/2006/relationships" ref="G37" display="https://leetcode.com/problems/find-first-and-last-position-of-element-in-sorted-array/" r:id="rId31"/>
    <hyperlink xmlns:r="http://schemas.openxmlformats.org/officeDocument/2006/relationships" ref="G39" display="https://leetcode.com/problems/3sum/" r:id="rId32"/>
    <hyperlink xmlns:r="http://schemas.openxmlformats.org/officeDocument/2006/relationships" ref="G40" display="https://leetcode.com/problems/container-with-most-water/" r:id="rId33"/>
    <hyperlink xmlns:r="http://schemas.openxmlformats.org/officeDocument/2006/relationships" ref="G41" display="https://leetcode.com/problems/remove-duplicates-from-sorted-array/" r:id="rId34"/>
    <hyperlink xmlns:r="http://schemas.openxmlformats.org/officeDocument/2006/relationships" ref="G42" display="https://www.geeksforgeeks.org/program-to-find-lcm-of-two-numbers/" r:id="rId35"/>
    <hyperlink xmlns:r="http://schemas.openxmlformats.org/officeDocument/2006/relationships" ref="G43" display="https://leetcode.com/problems/maximum-average-subarray-i/" r:id="rId36"/>
    <hyperlink xmlns:r="http://schemas.openxmlformats.org/officeDocument/2006/relationships" ref="G44" display="https://leetcode.com/problems/minimum-size-subarray-sum/" r:id="rId37"/>
    <hyperlink xmlns:r="http://schemas.openxmlformats.org/officeDocument/2006/relationships" ref="G45" display="https://leetcode.com/problems/permutation-in-string/" r:id="rId38"/>
    <hyperlink xmlns:r="http://schemas.openxmlformats.org/officeDocument/2006/relationships" ref="G46" display="https://leetcode.com/problems/range-sum-query-immutable/" r:id="rId39"/>
    <hyperlink xmlns:r="http://schemas.openxmlformats.org/officeDocument/2006/relationships" ref="G47" display="https://leetcode.com/problems/find-pivot-index/" r:id="rId40"/>
    <hyperlink xmlns:r="http://schemas.openxmlformats.org/officeDocument/2006/relationships" ref="G48" display="https://leetcode.com/problems/spiral-matrix/" r:id="rId41"/>
    <hyperlink xmlns:r="http://schemas.openxmlformats.org/officeDocument/2006/relationships" ref="G49" display="https://leetcode.com/problems/rotate-image/" r:id="rId42"/>
    <hyperlink xmlns:r="http://schemas.openxmlformats.org/officeDocument/2006/relationships" ref="G50" display="https://leetcode.com/problems/search-a-2d-matrix/" r:id="rId43"/>
    <hyperlink xmlns:r="http://schemas.openxmlformats.org/officeDocument/2006/relationships" ref="G51" display="https://leetcode.com/problems/set-matrix-zeroes/" r:id="rId44"/>
    <hyperlink xmlns:r="http://schemas.openxmlformats.org/officeDocument/2006/relationships" ref="G52" display="https://leetcode.com/problems/fibonacci-number/" r:id="rId45"/>
    <hyperlink xmlns:r="http://schemas.openxmlformats.org/officeDocument/2006/relationships" ref="G53" display="https://leetcode.com/problems/powx-n/" r:id="rId46"/>
    <hyperlink xmlns:r="http://schemas.openxmlformats.org/officeDocument/2006/relationships" ref="G54" display="https://leetcode.com/problems/add-digits/" r:id="rId47"/>
    <hyperlink xmlns:r="http://schemas.openxmlformats.org/officeDocument/2006/relationships" ref="G55" display="https://leetcode.com/problems/subsets/" r:id="rId48"/>
    <hyperlink xmlns:r="http://schemas.openxmlformats.org/officeDocument/2006/relationships" ref="G56" display="https://leetcode.com/problems/permutations/" r:id="rId49"/>
    <hyperlink xmlns:r="http://schemas.openxmlformats.org/officeDocument/2006/relationships" ref="G57" display="https://leetcode.com/problems/combination-sum/" r:id="rId50"/>
    <hyperlink xmlns:r="http://schemas.openxmlformats.org/officeDocument/2006/relationships" ref="G58" display="https://leetcode.com/problems/valid-parentheses/" r:id="rId51"/>
    <hyperlink xmlns:r="http://schemas.openxmlformats.org/officeDocument/2006/relationships" ref="G59" display="https://leetcode.com/problems/min-stack/" r:id="rId52"/>
    <hyperlink xmlns:r="http://schemas.openxmlformats.org/officeDocument/2006/relationships" ref="G60" display="https://leetcode.com/problems/evaluate-reverse-polish-notation/" r:id="rId53"/>
    <hyperlink xmlns:r="http://schemas.openxmlformats.org/officeDocument/2006/relationships" ref="G61" display="https://leetcode.com/problems/daily-temperatures/" r:id="rId54"/>
    <hyperlink xmlns:r="http://schemas.openxmlformats.org/officeDocument/2006/relationships" ref="G62" display="https://leetcode.com/problems/simplify-path/" r:id="rId55"/>
    <hyperlink xmlns:r="http://schemas.openxmlformats.org/officeDocument/2006/relationships" ref="G63" display="https://leetcode.com/problems/implement-queue-using-stacks/" r:id="rId56"/>
    <hyperlink xmlns:r="http://schemas.openxmlformats.org/officeDocument/2006/relationships" ref="G64" display="https://www.geeksforgeeks.org/prime-factor/" r:id="rId57"/>
    <hyperlink xmlns:r="http://schemas.openxmlformats.org/officeDocument/2006/relationships" ref="G65" display="https://leetcode.com/problems/sliding-window-maximum/" r:id="rId58"/>
    <hyperlink xmlns:r="http://schemas.openxmlformats.org/officeDocument/2006/relationships" ref="G66" display="https://leetcode.com/problems/reverse-linked-list/" r:id="rId59"/>
    <hyperlink xmlns:r="http://schemas.openxmlformats.org/officeDocument/2006/relationships" ref="G67" display="https://leetcode.com/problems/middle-of-the-linked-list/" r:id="rId60"/>
    <hyperlink xmlns:r="http://schemas.openxmlformats.org/officeDocument/2006/relationships" ref="G68" display="https://leetcode.com/problems/linked-list-cycle/" r:id="rId61"/>
    <hyperlink xmlns:r="http://schemas.openxmlformats.org/officeDocument/2006/relationships" ref="G69" display="https://leetcode.com/problems/merge-two-sorted-lists/" r:id="rId62"/>
    <hyperlink xmlns:r="http://schemas.openxmlformats.org/officeDocument/2006/relationships" ref="G70" display="https://leetcode.com/problems/remove-nth-node-from-end-of-list/" r:id="rId63"/>
    <hyperlink xmlns:r="http://schemas.openxmlformats.org/officeDocument/2006/relationships" ref="G71" display="https://leetcode.com/problems/palindrome-linked-list/" r:id="rId64"/>
    <hyperlink xmlns:r="http://schemas.openxmlformats.org/officeDocument/2006/relationships" ref="G72" display="https://leetcode.com/problems/intersection-of-two-linked-lists/" r:id="rId65"/>
    <hyperlink xmlns:r="http://schemas.openxmlformats.org/officeDocument/2006/relationships" ref="G73" display="https://leetcode.com/problems/maximum-depth-of-binary-tree/" r:id="rId66"/>
    <hyperlink xmlns:r="http://schemas.openxmlformats.org/officeDocument/2006/relationships" ref="G74" display="https://leetcode.com/problems/binary-tree-level-order-traversal/" r:id="rId67"/>
    <hyperlink xmlns:r="http://schemas.openxmlformats.org/officeDocument/2006/relationships" ref="G75" display="https://leetcode.com/problems/diameter-of-binary-tree/" r:id="rId68"/>
    <hyperlink xmlns:r="http://schemas.openxmlformats.org/officeDocument/2006/relationships" ref="G76" display="https://leetcode.com/problems/invert-binary-tree/" r:id="rId69"/>
    <hyperlink xmlns:r="http://schemas.openxmlformats.org/officeDocument/2006/relationships" ref="G77" display="https://leetcode.com/problems/symmetric-tree/" r:id="rId70"/>
    <hyperlink xmlns:r="http://schemas.openxmlformats.org/officeDocument/2006/relationships" ref="G78" display="https://leetcode.com/problems/path-sum/" r:id="rId71"/>
    <hyperlink xmlns:r="http://schemas.openxmlformats.org/officeDocument/2006/relationships" ref="G79" display="https://leetcode.com/problems/validate-binary-search-tree/" r:id="rId72"/>
    <hyperlink xmlns:r="http://schemas.openxmlformats.org/officeDocument/2006/relationships" ref="G80" display="https://leetcode.com/problems/lowest-common-ancestor-of-a-binary-search-tree/" r:id="rId73"/>
    <hyperlink xmlns:r="http://schemas.openxmlformats.org/officeDocument/2006/relationships" ref="G81" display="https://www.geeksforgeeks.org/printing-patterns-using-loops/" r:id="rId74"/>
    <hyperlink xmlns:r="http://schemas.openxmlformats.org/officeDocument/2006/relationships" ref="G82" display="https://leetcode.com/problems/kth-largest-element-in-a-stream/" r:id="rId75"/>
    <hyperlink xmlns:r="http://schemas.openxmlformats.org/officeDocument/2006/relationships" ref="G83" display="https://leetcode.com/problems/merge-k-sorted-lists/" r:id="rId76"/>
    <hyperlink xmlns:r="http://schemas.openxmlformats.org/officeDocument/2006/relationships" ref="G84" display="https://leetcode.com/problems/top-k-frequent-words/" r:id="rId77"/>
    <hyperlink xmlns:r="http://schemas.openxmlformats.org/officeDocument/2006/relationships" ref="G85" display="https://leetcode.com/problems/jump-game/" r:id="rId78"/>
    <hyperlink xmlns:r="http://schemas.openxmlformats.org/officeDocument/2006/relationships" ref="G86" display="https://leetcode.com/problems/non-overlapping-intervals/" r:id="rId79"/>
    <hyperlink xmlns:r="http://schemas.openxmlformats.org/officeDocument/2006/relationships" ref="G87" display="https://leetcode.com/problems/robot-return-to-origin/" r:id="rId80"/>
    <hyperlink xmlns:r="http://schemas.openxmlformats.org/officeDocument/2006/relationships" ref="G88" display="https://leetcode.com/problems/climbing-stairs/" r:id="rId81"/>
    <hyperlink xmlns:r="http://schemas.openxmlformats.org/officeDocument/2006/relationships" ref="G89" display="https://leetcode.com/problems/house-robber/" r:id="rId82"/>
    <hyperlink xmlns:r="http://schemas.openxmlformats.org/officeDocument/2006/relationships" ref="G90" display="https://leetcode.com/problems/coin-change/" r:id="rId83"/>
    <hyperlink xmlns:r="http://schemas.openxmlformats.org/officeDocument/2006/relationships" ref="G91" display="https://leetcode.com/problems/longest-increasing-subsequence/" r:id="rId84"/>
    <hyperlink xmlns:r="http://schemas.openxmlformats.org/officeDocument/2006/relationships" ref="G92" display="https://leetcode.com/problems/unique-paths/" r:id="rId85"/>
    <hyperlink xmlns:r="http://schemas.openxmlformats.org/officeDocument/2006/relationships" ref="G93" display="https://leetcode.com/problems/flood-fill/" r:id="rId86"/>
    <hyperlink xmlns:r="http://schemas.openxmlformats.org/officeDocument/2006/relationships" ref="G94" display="https://leetcode.com/problems/number-of-islands/" r:id="rId87"/>
  </hyperlinks>
  <pageMargins left="0.75" right="0.75" top="1" bottom="1" header="0" footer="0"/>
  <pageSetup orientation="portrait" paperSize="9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topLeftCell="A1" workbookViewId="0">
      <pane ySplit="3" topLeftCell="A4" activePane="bottomLeft" state="frozen"/>
      <selection pane="bottomLeft" activeCell="B5" sqref="B5"/>
    </sheetView>
  </sheetViews>
  <sheetFormatPr baseColWidth="8" defaultColWidth="14.421875" defaultRowHeight="15" customHeight="1"/>
  <cols>
    <col width="6.00390625" customWidth="1" style="18" min="1" max="1"/>
    <col width="26.00390625" customWidth="1" style="18" min="2" max="2"/>
    <col width="18.00390625" customWidth="1" style="18" min="3" max="3"/>
    <col width="8.7109375" customWidth="1" style="18" min="4" max="26"/>
  </cols>
  <sheetData>
    <row r="1" ht="15" customHeight="1" s="18">
      <c r="A1" s="11" t="inlineStr">
        <is>
          <t>Topic-wise Question Distribution</t>
        </is>
      </c>
    </row>
    <row r="3" ht="15" customHeight="1" s="18">
      <c r="A3" s="1" t="inlineStr">
        <is>
          <t>S.No</t>
        </is>
      </c>
      <c r="B3" s="1" t="inlineStr">
        <is>
          <t>Topic</t>
        </is>
      </c>
      <c r="C3" s="1" t="inlineStr">
        <is>
          <t>No. of Questions</t>
        </is>
      </c>
    </row>
    <row r="4" ht="15" customHeight="1" s="18">
      <c r="A4" s="2" t="n">
        <v>1</v>
      </c>
      <c r="B4" s="3" t="inlineStr">
        <is>
          <t>Arrays</t>
        </is>
      </c>
      <c r="C4" s="2">
        <f>COUNTIF('Master Sheet (100 Qs)'!$B$2:$B$101,B4)</f>
        <v/>
      </c>
    </row>
    <row r="5" ht="15" customHeight="1" s="18">
      <c r="A5" s="2" t="n">
        <v>2</v>
      </c>
      <c r="B5" s="3" t="inlineStr">
        <is>
          <t>Mathematics</t>
        </is>
      </c>
      <c r="C5" s="2">
        <f>COUNTIF('Master Sheet (100 Qs)'!$B$2:$B$101,B5)</f>
        <v/>
      </c>
    </row>
    <row r="6" ht="15" customHeight="1" s="18">
      <c r="A6" s="2" t="n">
        <v>3</v>
      </c>
      <c r="B6" s="3" t="inlineStr">
        <is>
          <t>Strings</t>
        </is>
      </c>
      <c r="C6" s="2">
        <f>COUNTIF('Master Sheet (100 Qs)'!$B$2:$B$101,B6)</f>
        <v/>
      </c>
    </row>
    <row r="7" ht="15" customHeight="1" s="18">
      <c r="A7" s="2" t="n">
        <v>4</v>
      </c>
      <c r="B7" s="3" t="inlineStr">
        <is>
          <t>Number Theory</t>
        </is>
      </c>
      <c r="C7" s="2">
        <f>COUNTIF('Master Sheet (100 Qs)'!$B$2:$B$101,B7)</f>
        <v/>
      </c>
    </row>
    <row r="8" ht="15" customHeight="1" s="18">
      <c r="A8" s="2" t="n">
        <v>5</v>
      </c>
      <c r="B8" s="3" t="inlineStr">
        <is>
          <t>Frequency Counting</t>
        </is>
      </c>
      <c r="C8" s="2">
        <f>COUNTIF('Master Sheet (100 Qs)'!$B$2:$B$101,B8)</f>
        <v/>
      </c>
    </row>
    <row r="9" ht="15" customHeight="1" s="18">
      <c r="A9" s="2" t="n">
        <v>6</v>
      </c>
      <c r="B9" s="3" t="inlineStr">
        <is>
          <t>HashMap / HashSet</t>
        </is>
      </c>
      <c r="C9" s="2">
        <f>COUNTIF('Master Sheet (100 Qs)'!$B$2:$B$101,B9)</f>
        <v/>
      </c>
    </row>
    <row r="10" ht="15" customHeight="1" s="18">
      <c r="A10" s="2" t="n">
        <v>7</v>
      </c>
      <c r="B10" s="3" t="inlineStr">
        <is>
          <t>Intervals</t>
        </is>
      </c>
      <c r="C10" s="2">
        <f>COUNTIF('Master Sheet (100 Qs)'!$B$2:$B$101,B10)</f>
        <v/>
      </c>
    </row>
    <row r="11" ht="15" customHeight="1" s="18">
      <c r="A11" s="2" t="n">
        <v>8</v>
      </c>
      <c r="B11" s="3" t="inlineStr">
        <is>
          <t>Sorting</t>
        </is>
      </c>
      <c r="C11" s="2">
        <f>COUNTIF('Master Sheet (100 Qs)'!$B$2:$B$101,B11)</f>
        <v/>
      </c>
    </row>
    <row r="12" ht="15" customHeight="1" s="18">
      <c r="A12" s="2" t="n">
        <v>9</v>
      </c>
      <c r="B12" s="3" t="inlineStr">
        <is>
          <t>Binary Search</t>
        </is>
      </c>
      <c r="C12" s="2">
        <f>COUNTIF('Master Sheet (100 Qs)'!$B$2:$B$101,B12)</f>
        <v/>
      </c>
    </row>
    <row r="13" ht="15" customHeight="1" s="18">
      <c r="A13" s="2" t="n">
        <v>10</v>
      </c>
      <c r="B13" s="3" t="inlineStr">
        <is>
          <t>Two Pointers</t>
        </is>
      </c>
      <c r="C13" s="2">
        <f>COUNTIF('Master Sheet (100 Qs)'!$B$2:$B$101,B13)</f>
        <v/>
      </c>
    </row>
    <row r="14" ht="15" customHeight="1" s="18">
      <c r="A14" s="2" t="n">
        <v>11</v>
      </c>
      <c r="B14" s="3" t="inlineStr">
        <is>
          <t>Sliding Window</t>
        </is>
      </c>
      <c r="C14" s="2">
        <f>COUNTIF('Master Sheet (100 Qs)'!$B$2:$B$101,B14)</f>
        <v/>
      </c>
    </row>
    <row r="15" ht="15" customHeight="1" s="18">
      <c r="A15" s="2" t="n">
        <v>12</v>
      </c>
      <c r="B15" s="3" t="inlineStr">
        <is>
          <t>Prefix Sum</t>
        </is>
      </c>
      <c r="C15" s="2">
        <f>COUNTIF('Master Sheet (100 Qs)'!$B$2:$B$101,B15)</f>
        <v/>
      </c>
    </row>
    <row r="16" ht="15" customHeight="1" s="18">
      <c r="A16" s="2" t="n">
        <v>13</v>
      </c>
      <c r="B16" s="3" t="inlineStr">
        <is>
          <t>Matrix</t>
        </is>
      </c>
      <c r="C16" s="2">
        <f>COUNTIF('Master Sheet (100 Qs)'!$B$2:$B$101,B16)</f>
        <v/>
      </c>
    </row>
    <row r="17" ht="15" customHeight="1" s="18">
      <c r="A17" s="2" t="n">
        <v>14</v>
      </c>
      <c r="B17" s="3" t="inlineStr">
        <is>
          <t>Recursion</t>
        </is>
      </c>
      <c r="C17" s="2">
        <f>COUNTIF('Master Sheet (100 Qs)'!$B$2:$B$101,B17)</f>
        <v/>
      </c>
    </row>
    <row r="18" ht="15" customHeight="1" s="18">
      <c r="A18" s="2" t="n">
        <v>15</v>
      </c>
      <c r="B18" s="3" t="inlineStr">
        <is>
          <t>Basic Backtracking</t>
        </is>
      </c>
      <c r="C18" s="2">
        <f>COUNTIF('Master Sheet (100 Qs)'!$B$2:$B$101,B18)</f>
        <v/>
      </c>
    </row>
    <row r="19" ht="15" customHeight="1" s="18">
      <c r="A19" s="2" t="n">
        <v>16</v>
      </c>
      <c r="B19" s="3" t="inlineStr">
        <is>
          <t>Stack</t>
        </is>
      </c>
      <c r="C19" s="2">
        <f>COUNTIF('Master Sheet (100 Qs)'!$B$2:$B$101,B19)</f>
        <v/>
      </c>
    </row>
    <row r="20" ht="15" customHeight="1" s="18">
      <c r="A20" s="2" t="n">
        <v>17</v>
      </c>
      <c r="B20" s="3" t="inlineStr">
        <is>
          <t>Queue</t>
        </is>
      </c>
      <c r="C20" s="2">
        <f>COUNTIF('Master Sheet (100 Qs)'!$B$2:$B$101,B20)</f>
        <v/>
      </c>
    </row>
    <row r="21" ht="15.75" customHeight="1" s="18">
      <c r="A21" s="2" t="n">
        <v>18</v>
      </c>
      <c r="B21" s="3" t="inlineStr">
        <is>
          <t>Linked List</t>
        </is>
      </c>
      <c r="C21" s="2">
        <f>COUNTIF('Master Sheet (100 Qs)'!$B$2:$B$101,B21)</f>
        <v/>
      </c>
    </row>
    <row r="22" ht="15.75" customHeight="1" s="18">
      <c r="A22" s="2" t="n">
        <v>19</v>
      </c>
      <c r="B22" s="3" t="inlineStr">
        <is>
          <t>Trees</t>
        </is>
      </c>
      <c r="C22" s="2">
        <f>COUNTIF('Master Sheet (100 Qs)'!$B$2:$B$101,B22)</f>
        <v/>
      </c>
    </row>
    <row r="23" ht="15.75" customHeight="1" s="18">
      <c r="A23" s="2" t="n">
        <v>20</v>
      </c>
      <c r="B23" s="3" t="inlineStr">
        <is>
          <t>Binary Search Trees</t>
        </is>
      </c>
      <c r="C23" s="2">
        <f>COUNTIF('Master Sheet (100 Qs)'!$B$2:$B$101,B23)</f>
        <v/>
      </c>
    </row>
    <row r="24" ht="15.75" customHeight="1" s="18">
      <c r="A24" s="2" t="n">
        <v>21</v>
      </c>
      <c r="B24" s="3" t="inlineStr">
        <is>
          <t>Pattern-based Logic</t>
        </is>
      </c>
      <c r="C24" s="2">
        <f>COUNTIF('Master Sheet (100 Qs)'!$B$2:$B$101,B24)</f>
        <v/>
      </c>
    </row>
    <row r="25" ht="15.75" customHeight="1" s="18">
      <c r="A25" s="2" t="n">
        <v>22</v>
      </c>
      <c r="B25" s="3" t="inlineStr">
        <is>
          <t>Heap / Priority Queue</t>
        </is>
      </c>
      <c r="C25" s="2">
        <f>COUNTIF('Master Sheet (100 Qs)'!$B$2:$B$101,B25)</f>
        <v/>
      </c>
    </row>
    <row r="26" ht="15.75" customHeight="1" s="18">
      <c r="A26" s="2" t="n">
        <v>23</v>
      </c>
      <c r="B26" s="3" t="inlineStr">
        <is>
          <t>Greedy Algorithms</t>
        </is>
      </c>
      <c r="C26" s="2">
        <f>COUNTIF('Master Sheet (100 Qs)'!$B$2:$B$101,B26)</f>
        <v/>
      </c>
    </row>
    <row r="27" ht="15.75" customHeight="1" s="18">
      <c r="A27" s="2" t="n">
        <v>24</v>
      </c>
      <c r="B27" s="3" t="inlineStr">
        <is>
          <t>Simulation</t>
        </is>
      </c>
      <c r="C27" s="2">
        <f>COUNTIF('Master Sheet (100 Qs)'!$B$2:$B$101,B27)</f>
        <v/>
      </c>
    </row>
    <row r="28" ht="15.75" customHeight="1" s="18">
      <c r="A28" s="2" t="n">
        <v>25</v>
      </c>
      <c r="B28" s="3" t="inlineStr">
        <is>
          <t>Dynamic Programming</t>
        </is>
      </c>
      <c r="C28" s="2">
        <f>COUNTIF('Master Sheet (100 Qs)'!$B$2:$B$101,B28)</f>
        <v/>
      </c>
    </row>
    <row r="29" ht="15.75" customHeight="1" s="18">
      <c r="A29" s="2" t="n">
        <v>26</v>
      </c>
      <c r="B29" s="3" t="inlineStr">
        <is>
          <t>Graph Basics</t>
        </is>
      </c>
      <c r="C29" s="2">
        <f>COUNTIF('Master Sheet (100 Qs)'!$B$2:$B$101,B29)</f>
        <v/>
      </c>
    </row>
    <row r="30" ht="15.75" customHeight="1" s="18">
      <c r="A30" s="2" t="n">
        <v>27</v>
      </c>
      <c r="B30" s="3" t="inlineStr">
        <is>
          <t>Bit Manipulation</t>
        </is>
      </c>
      <c r="C30" s="2">
        <f>COUNTIF('Master Sheet (100 Qs)'!$B$2:$B$101,B30)</f>
        <v/>
      </c>
    </row>
    <row r="31" ht="15.75" customHeight="1" s="18">
      <c r="A31" s="2" t="n">
        <v>28</v>
      </c>
      <c r="B31" s="3" t="inlineStr">
        <is>
          <t>Miscellaneous</t>
        </is>
      </c>
      <c r="C31" s="2">
        <f>COUNTIF('Master Sheet (100 Qs)'!$B$2:$B$101,B31)</f>
        <v/>
      </c>
    </row>
    <row r="32" ht="15.75" customHeight="1" s="18">
      <c r="A32" s="12" t="n"/>
      <c r="B32" s="13" t="inlineStr">
        <is>
          <t>Total</t>
        </is>
      </c>
      <c r="C32" s="13">
        <f>SUM(C4:C31)</f>
        <v/>
      </c>
    </row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C1"/>
  </mergeCells>
  <pageMargins left="0.75" right="0.75" top="1" bottom="1" header="0" footer="0"/>
  <pageSetup orientation="portrait" paperSize="9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topLeftCell="A1" workbookViewId="0">
      <pane ySplit="3" topLeftCell="A4" activePane="bottomLeft" state="frozen"/>
      <selection pane="bottomLeft" activeCell="B5" sqref="B5"/>
    </sheetView>
  </sheetViews>
  <sheetFormatPr baseColWidth="8" defaultColWidth="14.421875" defaultRowHeight="15" customHeight="1"/>
  <cols>
    <col width="6.00390625" customWidth="1" style="18" min="1" max="1"/>
    <col width="18.00390625" customWidth="1" style="18" min="2" max="3"/>
    <col width="8.7109375" customWidth="1" style="18" min="4" max="26"/>
  </cols>
  <sheetData>
    <row r="1" ht="15" customHeight="1" s="18">
      <c r="A1" s="11" t="inlineStr">
        <is>
          <t>Difficulty Distribution</t>
        </is>
      </c>
    </row>
    <row r="3" ht="15" customHeight="1" s="18">
      <c r="A3" s="1" t="inlineStr">
        <is>
          <t>S.No</t>
        </is>
      </c>
      <c r="B3" s="1" t="inlineStr">
        <is>
          <t>Difficulty</t>
        </is>
      </c>
      <c r="C3" s="1" t="inlineStr">
        <is>
          <t>No. of Questions</t>
        </is>
      </c>
    </row>
    <row r="4" ht="15" customHeight="1" s="18">
      <c r="A4" s="2" t="n">
        <v>1</v>
      </c>
      <c r="B4" s="14" t="inlineStr">
        <is>
          <t>Easy</t>
        </is>
      </c>
      <c r="C4" s="2">
        <f>COUNTIF('Master Sheet (100 Qs)'!$E$2:$E$101,B4)</f>
        <v/>
      </c>
    </row>
    <row r="5" ht="15" customHeight="1" s="18">
      <c r="A5" s="2" t="n">
        <v>2</v>
      </c>
      <c r="B5" s="15" t="inlineStr">
        <is>
          <t>Easy-Medium</t>
        </is>
      </c>
      <c r="C5" s="2">
        <f>COUNTIF('Master Sheet (100 Qs)'!$E$2:$E$101,B5)</f>
        <v/>
      </c>
    </row>
    <row r="6" ht="15" customHeight="1" s="18">
      <c r="A6" s="2" t="n">
        <v>3</v>
      </c>
      <c r="B6" s="16" t="inlineStr">
        <is>
          <t>Medium</t>
        </is>
      </c>
      <c r="C6" s="2">
        <f>COUNTIF('Master Sheet (100 Qs)'!$E$2:$E$101,B6)</f>
        <v/>
      </c>
    </row>
    <row r="7" ht="15" customHeight="1" s="18">
      <c r="A7" s="12" t="n"/>
      <c r="B7" s="13" t="inlineStr">
        <is>
          <t>Total</t>
        </is>
      </c>
      <c r="C7" s="13">
        <f>SUM(C4:C6)</f>
        <v/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C1"/>
  </mergeCells>
  <pageMargins left="0.75" right="0.75" top="1" bottom="1" header="0" footer="0"/>
  <pageSetup orientation="portrait" paperSize="9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topLeftCell="A1" workbookViewId="0">
      <selection activeCell="A1" sqref="A1"/>
    </sheetView>
  </sheetViews>
  <sheetFormatPr baseColWidth="8" defaultColWidth="14.421875" defaultRowHeight="15" customHeight="1"/>
  <cols>
    <col width="34.00390625" customWidth="1" style="18" min="1" max="1"/>
    <col width="40.00390625" customWidth="1" style="18" min="2" max="2"/>
    <col width="8.7109375" customWidth="1" style="18" min="3" max="26"/>
  </cols>
  <sheetData>
    <row r="1" ht="15" customHeight="1" s="18">
      <c r="A1" s="11" t="inlineStr">
        <is>
          <t>Deloitte Prep — Progress Tracker</t>
        </is>
      </c>
    </row>
    <row r="3" ht="15" customHeight="1" s="18">
      <c r="A3" s="1" t="inlineStr">
        <is>
          <t>Metric</t>
        </is>
      </c>
      <c r="B3" s="1" t="inlineStr">
        <is>
          <t>Value</t>
        </is>
      </c>
    </row>
    <row r="4" ht="15" customHeight="1" s="18">
      <c r="A4" s="3" t="inlineStr">
        <is>
          <t>Total Questions</t>
        </is>
      </c>
      <c r="B4" s="2">
        <f>COUNTA('Master Sheet (100 Qs)'!A2:A101)</f>
        <v/>
      </c>
    </row>
    <row r="5" ht="15" customHeight="1" s="18">
      <c r="A5" s="3" t="inlineStr">
        <is>
          <t>Solved (Status = Done)</t>
        </is>
      </c>
      <c r="B5" s="2">
        <f>COUNTIF('Master Sheet (100 Qs)'!K2:K101,"Done")</f>
        <v/>
      </c>
    </row>
    <row r="6" ht="15" customHeight="1" s="18">
      <c r="A6" s="3" t="inlineStr">
        <is>
          <t>In Progress (Status = In Progress)</t>
        </is>
      </c>
      <c r="B6" s="2">
        <f>COUNTIF('Master Sheet (100 Qs)'!K2:K101,"In Progress")</f>
        <v/>
      </c>
    </row>
    <row r="7" ht="15" customHeight="1" s="18">
      <c r="A7" s="3" t="inlineStr">
        <is>
          <t>Not Started</t>
        </is>
      </c>
      <c r="B7" s="2">
        <f>COUNTA('Master Sheet (100 Qs)'!A2:A101)-COUNTIF('Master Sheet (100 Qs)'!K2:K101,"Done")-COUNTIF('Master Sheet (100 Qs)'!K2:K101,"In Progress")</f>
        <v/>
      </c>
    </row>
    <row r="8" ht="15" customHeight="1" s="18">
      <c r="A8" s="3" t="inlineStr">
        <is>
          <t>Completion %</t>
        </is>
      </c>
      <c r="B8" s="2">
        <f>ROUND(COUNTIF('Master Sheet (100 Qs)'!K2:K101,"Done")/COUNTA('Master Sheet (100 Qs)'!A2:A101)*100,1)</f>
        <v/>
      </c>
    </row>
    <row r="9" ht="15" customHeight="1" s="18">
      <c r="A9" s="3" t="inlineStr">
        <is>
          <t>High Importance Solved</t>
        </is>
      </c>
      <c r="B9" s="2">
        <f>_xlfn.COUNTIFS('Master Sheet (100 Qs)'!J2:J101,"High",'Master Sheet (100 Qs)'!K2:K101,"Done")</f>
        <v/>
      </c>
    </row>
    <row r="10" ht="15" customHeight="1" s="18">
      <c r="A10" s="3" t="inlineStr">
        <is>
          <t>Total High Importance Qs</t>
        </is>
      </c>
      <c r="B10" s="2">
        <f>COUNTIF('Master Sheet (100 Qs)'!J2:J101,"High")</f>
        <v/>
      </c>
    </row>
    <row r="13" ht="15" customHeight="1" s="18">
      <c r="A13" s="17" t="inlineStr">
        <is>
          <t>Instructions:</t>
        </is>
      </c>
    </row>
    <row r="14" ht="15" customHeight="1" s="18">
      <c r="A14" s="17" t="inlineStr">
        <is>
          <t>1. Go to 'Master Sheet (100 Qs)', column K (Status).</t>
        </is>
      </c>
    </row>
    <row r="15" ht="15" customHeight="1" s="18">
      <c r="A15" s="17" t="inlineStr">
        <is>
          <t>2. Type 'Done', 'In Progress', or leave blank for each question as you practice.</t>
        </is>
      </c>
    </row>
    <row r="16" ht="15" customHeight="1" s="18">
      <c r="A16" s="17" t="inlineStr">
        <is>
          <t>3. This tracker updates automatically using formulas.</t>
        </is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D1"/>
  </mergeCells>
  <pageMargins left="0.75" right="0.75" top="1" bottom="1" header="0" footer="0"/>
  <pageSetup orientation="portrait" paperSize="9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2026-07-23T20:22:29Z</dcterms:created>
  <dcterms:modified xmlns:dcterms="http://purl.org/dc/terms/" xmlns:xsi="http://www.w3.org/2001/XMLSchema-instance" xsi:type="dcterms:W3CDTF">2026-07-23T20:27:16Z</dcterms:modified>
</cp:coreProperties>
</file>