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500" firstSheet="0" activeTab="0" autoFilterDateGrouping="1"/>
  </bookViews>
  <sheets>
    <sheet xmlns:r="http://schemas.openxmlformats.org/officeDocument/2006/relationships" name="Master Sheet (100 Qs)" sheetId="1" state="visible" r:id="rId1"/>
    <sheet xmlns:r="http://schemas.openxmlformats.org/officeDocument/2006/relationships" name="Topic-wise Summary" sheetId="2" state="visible" r:id="rId2"/>
    <sheet xmlns:r="http://schemas.openxmlformats.org/officeDocument/2006/relationships" name="Difficulty Distribution" sheetId="3" state="visible" r:id="rId3"/>
    <sheet xmlns:r="http://schemas.openxmlformats.org/officeDocument/2006/relationships" name="Progress Tracker" sheetId="4" state="visible" r:id="rId4"/>
  </sheets>
  <definedNames/>
  <calcPr calcId="0" fullCalcOnLoad="1" iterateCount="100" iterateDelta="0.001"/>
</workbook>
</file>

<file path=xl/styles.xml><?xml version="1.0" encoding="utf-8"?>
<styleSheet xmlns="http://schemas.openxmlformats.org/spreadsheetml/2006/main">
  <numFmts count="0"/>
  <fonts count="7">
    <font>
      <name val="Calibri"/>
      <color theme="1"/>
      <sz val="11"/>
      <scheme val="minor"/>
    </font>
    <font>
      <name val="Arial"/>
      <b val="1"/>
      <color rgb="FFFFFFFF"/>
      <sz val="11"/>
    </font>
    <font>
      <name val="Arial"/>
      <color theme="1"/>
      <sz val="10"/>
    </font>
    <font>
      <name val="Arial"/>
      <color rgb="FF0563C1"/>
      <sz val="10"/>
      <u val="single"/>
    </font>
    <font>
      <name val="Arial"/>
      <b val="1"/>
      <color rgb="FF1F4E78"/>
      <sz val="14"/>
    </font>
    <font>
      <name val="Calibri"/>
      <color theme="1"/>
      <sz val="11"/>
    </font>
    <font>
      <name val="Arial"/>
      <b val="1"/>
      <color theme="1"/>
      <sz val="11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</fills>
  <borders count="2"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0" fontId="6" fillId="0" borderId="1" pivotButton="0" quotePrefix="0" xfId="0"/>
    <xf numFmtId="0" fontId="2" fillId="3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2" fillId="0" borderId="0" pivotButton="0" quotePrefix="0" xfId="0"/>
  </cellXfs>
  <cellStyles count="1">
    <cellStyle name="Normal" xf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"/>
      </a:majorFont>
      <a:minorFont>
        <a:latin typeface="Calibri"/>
        <a:ea typeface="Calibri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8"/>
  <sheetViews>
    <sheetView tabSelected="1" topLeftCell="A1" workbookViewId="0">
      <pane ySplit="1" topLeftCell="A88" activePane="bottomLeft" state="frozen"/>
      <selection pane="bottomLeft" activeCell="B3" sqref="B3"/>
    </sheetView>
  </sheetViews>
  <sheetFormatPr baseColWidth="8" defaultColWidth="14.421875" defaultRowHeight="15" customHeight="1"/>
  <cols>
    <col width="6.00390625" customWidth="1" min="1" max="1"/>
    <col width="20.00390625" customWidth="1" min="2" max="2"/>
    <col width="24.00390625" customWidth="1" min="3" max="3"/>
    <col width="42.00390625" customWidth="1" min="4" max="4"/>
    <col width="13.00390625" customWidth="1" min="5" max="5"/>
    <col width="14.00390625" customWidth="1" min="6" max="6"/>
    <col width="48.00390625" customWidth="1" min="7" max="7"/>
    <col width="16.00390625" customWidth="1" min="8" max="9"/>
    <col width="12.00390625" customWidth="1" min="10" max="10"/>
    <col width="10.00390625" customWidth="1" min="11" max="11"/>
    <col width="8.7109375" customWidth="1" min="12" max="26"/>
  </cols>
  <sheetData>
    <row r="1" ht="30" customHeight="1">
      <c r="A1" s="1" t="inlineStr">
        <is>
          <t>S.No</t>
        </is>
      </c>
      <c r="B1" s="1" t="inlineStr">
        <is>
          <t>Topic</t>
        </is>
      </c>
      <c r="C1" s="1" t="inlineStr">
        <is>
          <t>Subtopic</t>
        </is>
      </c>
      <c r="D1" s="1" t="inlineStr">
        <is>
          <t>Question Name</t>
        </is>
      </c>
      <c r="E1" s="1" t="inlineStr">
        <is>
          <t>Difficulty</t>
        </is>
      </c>
      <c r="F1" s="1" t="inlineStr">
        <is>
          <t>Platform</t>
        </is>
      </c>
      <c r="G1" s="1" t="inlineStr">
        <is>
          <t>Direct Practice Link</t>
        </is>
      </c>
      <c r="H1" s="1" t="inlineStr">
        <is>
          <t>Asked in Deloitte?</t>
        </is>
      </c>
      <c r="I1" s="1" t="inlineStr">
        <is>
          <t>Similar to Deloitte?</t>
        </is>
      </c>
      <c r="J1" s="1" t="inlineStr">
        <is>
          <t>Importance</t>
        </is>
      </c>
      <c r="K1" s="1" t="inlineStr">
        <is>
          <t>Status</t>
        </is>
      </c>
    </row>
    <row r="2" ht="15" customHeight="1">
      <c r="A2" t="n">
        <v>1</v>
      </c>
      <c r="B2" t="inlineStr">
        <is>
          <t>Arrays</t>
        </is>
      </c>
      <c r="C2" t="inlineStr">
        <is>
          <t>Merging</t>
        </is>
      </c>
      <c r="D2" t="inlineStr">
        <is>
          <t>Merge Sorted Array</t>
        </is>
      </c>
      <c r="E2" t="inlineStr">
        <is>
          <t>Easy</t>
        </is>
      </c>
      <c r="F2" t="inlineStr">
        <is>
          <t>LeetCode</t>
        </is>
      </c>
      <c r="G2" t="inlineStr">
        <is>
          <t>https://leetcode.com/problems/merge-sorted-array/</t>
        </is>
      </c>
      <c r="H2" t="inlineStr">
        <is>
          <t>Similar</t>
        </is>
      </c>
      <c r="I2" t="inlineStr">
        <is>
          <t>Yes</t>
        </is>
      </c>
      <c r="J2" t="inlineStr">
        <is>
          <t>Medium</t>
        </is>
      </c>
    </row>
    <row r="3" ht="15" customHeight="1">
      <c r="A3" t="n">
        <v>2</v>
      </c>
      <c r="B3" t="inlineStr">
        <is>
          <t>Arrays</t>
        </is>
      </c>
      <c r="C3" t="inlineStr">
        <is>
          <t>Missing Element</t>
        </is>
      </c>
      <c r="D3" t="inlineStr">
        <is>
          <t>Missing Number</t>
        </is>
      </c>
      <c r="E3" t="inlineStr">
        <is>
          <t>Easy</t>
        </is>
      </c>
      <c r="F3" t="inlineStr">
        <is>
          <t>LeetCode</t>
        </is>
      </c>
      <c r="G3" t="inlineStr">
        <is>
          <t>https://leetcode.com/problems/missing-number/</t>
        </is>
      </c>
      <c r="H3" t="inlineStr">
        <is>
          <t>Community Report</t>
        </is>
      </c>
      <c r="I3" t="inlineStr">
        <is>
          <t>Yes</t>
        </is>
      </c>
      <c r="J3" t="inlineStr">
        <is>
          <t>High</t>
        </is>
      </c>
    </row>
    <row r="4" ht="15" customHeight="1">
      <c r="A4" t="n">
        <v>3</v>
      </c>
      <c r="B4" t="inlineStr">
        <is>
          <t>Mathematics</t>
        </is>
      </c>
      <c r="C4" t="inlineStr">
        <is>
          <t>Digit Manipulation</t>
        </is>
      </c>
      <c r="D4" t="inlineStr">
        <is>
          <t>Armstrong Number</t>
        </is>
      </c>
      <c r="E4" t="inlineStr">
        <is>
          <t>Easy</t>
        </is>
      </c>
      <c r="F4" t="inlineStr">
        <is>
          <t>GeeksforGeeks</t>
        </is>
      </c>
      <c r="G4" t="inlineStr">
        <is>
          <t>https://www.geeksforgeeks.org/c-program-to-check-armstrong-number/</t>
        </is>
      </c>
      <c r="H4" t="inlineStr">
        <is>
          <t>Community Report</t>
        </is>
      </c>
      <c r="I4" t="inlineStr">
        <is>
          <t>Yes</t>
        </is>
      </c>
      <c r="J4" t="inlineStr">
        <is>
          <t>High</t>
        </is>
      </c>
    </row>
    <row r="5" ht="15" customHeight="1">
      <c r="A5" t="n">
        <v>4</v>
      </c>
      <c r="B5" t="inlineStr">
        <is>
          <t>Strings</t>
        </is>
      </c>
      <c r="C5" t="inlineStr">
        <is>
          <t>Anagram</t>
        </is>
      </c>
      <c r="D5" t="inlineStr">
        <is>
          <t>Valid Anagram</t>
        </is>
      </c>
      <c r="E5" t="inlineStr">
        <is>
          <t>Easy</t>
        </is>
      </c>
      <c r="F5" t="inlineStr">
        <is>
          <t>LeetCode</t>
        </is>
      </c>
      <c r="G5" t="inlineStr">
        <is>
          <t>https://leetcode.com/problems/valid-anagram/</t>
        </is>
      </c>
      <c r="H5" t="inlineStr">
        <is>
          <t>Community Report</t>
        </is>
      </c>
      <c r="I5" t="inlineStr">
        <is>
          <t>Yes</t>
        </is>
      </c>
      <c r="J5" t="inlineStr">
        <is>
          <t>High</t>
        </is>
      </c>
    </row>
    <row r="6" ht="15" customHeight="1">
      <c r="A6" t="n">
        <v>5</v>
      </c>
      <c r="B6" t="inlineStr">
        <is>
          <t>Strings</t>
        </is>
      </c>
      <c r="C6" t="inlineStr">
        <is>
          <t>Palindrome</t>
        </is>
      </c>
      <c r="D6" t="inlineStr">
        <is>
          <t>Valid Palindrome</t>
        </is>
      </c>
      <c r="E6" t="inlineStr">
        <is>
          <t>Easy</t>
        </is>
      </c>
      <c r="F6" t="inlineStr">
        <is>
          <t>LeetCode</t>
        </is>
      </c>
      <c r="G6" t="inlineStr">
        <is>
          <t>https://leetcode.com/problems/valid-palindrome/</t>
        </is>
      </c>
      <c r="H6" t="inlineStr">
        <is>
          <t>Community Report</t>
        </is>
      </c>
      <c r="I6" t="inlineStr">
        <is>
          <t>Yes</t>
        </is>
      </c>
      <c r="J6" t="inlineStr">
        <is>
          <t>High</t>
        </is>
      </c>
    </row>
    <row r="7" ht="15" customHeight="1">
      <c r="A7" t="n">
        <v>6</v>
      </c>
      <c r="B7" t="inlineStr">
        <is>
          <t>Strings</t>
        </is>
      </c>
      <c r="C7" t="inlineStr">
        <is>
          <t>Reversal</t>
        </is>
      </c>
      <c r="D7" t="inlineStr">
        <is>
          <t>Reverse Words in a String</t>
        </is>
      </c>
      <c r="E7" t="inlineStr">
        <is>
          <t>Medium</t>
        </is>
      </c>
      <c r="F7" t="inlineStr">
        <is>
          <t>LeetCode</t>
        </is>
      </c>
      <c r="G7" t="inlineStr">
        <is>
          <t>https://leetcode.com/problems/reverse-words-in-a-string/</t>
        </is>
      </c>
      <c r="H7" t="inlineStr">
        <is>
          <t>Similar</t>
        </is>
      </c>
      <c r="I7" t="inlineStr">
        <is>
          <t>Yes</t>
        </is>
      </c>
      <c r="J7" t="inlineStr">
        <is>
          <t>Medium</t>
        </is>
      </c>
    </row>
    <row r="8" ht="15" customHeight="1">
      <c r="A8" t="n">
        <v>7</v>
      </c>
      <c r="B8" t="inlineStr">
        <is>
          <t>Strings</t>
        </is>
      </c>
      <c r="C8" t="inlineStr">
        <is>
          <t>Sliding Window</t>
        </is>
      </c>
      <c r="D8" t="inlineStr">
        <is>
          <t>Longest Substring Without Repeating Characters</t>
        </is>
      </c>
      <c r="E8" t="inlineStr">
        <is>
          <t>Medium</t>
        </is>
      </c>
      <c r="F8" t="inlineStr">
        <is>
          <t>LeetCode</t>
        </is>
      </c>
      <c r="G8" t="inlineStr">
        <is>
          <t>https://leetcode.com/problems/longest-substring-without-repeating-characters/</t>
        </is>
      </c>
      <c r="H8" t="inlineStr">
        <is>
          <t>Community Report</t>
        </is>
      </c>
      <c r="I8" t="inlineStr">
        <is>
          <t>Yes</t>
        </is>
      </c>
      <c r="J8" t="inlineStr">
        <is>
          <t>High</t>
        </is>
      </c>
    </row>
    <row r="9" ht="15" customHeight="1">
      <c r="A9" t="n">
        <v>8</v>
      </c>
      <c r="B9" t="inlineStr">
        <is>
          <t>Strings</t>
        </is>
      </c>
      <c r="C9" t="inlineStr">
        <is>
          <t>Compression</t>
        </is>
      </c>
      <c r="D9" t="inlineStr">
        <is>
          <t>String Compression</t>
        </is>
      </c>
      <c r="E9" t="inlineStr">
        <is>
          <t>Medium</t>
        </is>
      </c>
      <c r="F9" t="inlineStr">
        <is>
          <t>LeetCode</t>
        </is>
      </c>
      <c r="G9" t="inlineStr">
        <is>
          <t>https://leetcode.com/problems/string-compression/</t>
        </is>
      </c>
      <c r="H9" t="inlineStr">
        <is>
          <t>Similar</t>
        </is>
      </c>
      <c r="I9" t="inlineStr">
        <is>
          <t>Yes</t>
        </is>
      </c>
      <c r="J9" t="inlineStr">
        <is>
          <t>Medium</t>
        </is>
      </c>
    </row>
    <row r="10" ht="15" customHeight="1">
      <c r="A10" t="n">
        <v>9</v>
      </c>
      <c r="B10" t="inlineStr">
        <is>
          <t>Strings</t>
        </is>
      </c>
      <c r="C10" t="inlineStr">
        <is>
          <t>Parsing</t>
        </is>
      </c>
      <c r="D10" t="inlineStr">
        <is>
          <t>Roman to Integer</t>
        </is>
      </c>
      <c r="E10" t="inlineStr">
        <is>
          <t>Easy</t>
        </is>
      </c>
      <c r="F10" t="inlineStr">
        <is>
          <t>LeetCode</t>
        </is>
      </c>
      <c r="G10" t="inlineStr">
        <is>
          <t>https://leetcode.com/problems/roman-to-integer/</t>
        </is>
      </c>
      <c r="H10" t="inlineStr">
        <is>
          <t>Similar</t>
        </is>
      </c>
      <c r="I10" t="inlineStr">
        <is>
          <t>Yes</t>
        </is>
      </c>
      <c r="J10" t="inlineStr">
        <is>
          <t>Medium</t>
        </is>
      </c>
    </row>
    <row r="11" ht="15" customHeight="1">
      <c r="A11" t="n">
        <v>10</v>
      </c>
      <c r="B11" t="inlineStr">
        <is>
          <t>Number Theory</t>
        </is>
      </c>
      <c r="C11" t="inlineStr">
        <is>
          <t>GCD</t>
        </is>
      </c>
      <c r="D11" t="inlineStr">
        <is>
          <t>GCD of Two Numbers (Euclidean Algorithm)</t>
        </is>
      </c>
      <c r="E11" t="inlineStr">
        <is>
          <t>Easy</t>
        </is>
      </c>
      <c r="F11" t="inlineStr">
        <is>
          <t>GeeksforGeeks</t>
        </is>
      </c>
      <c r="G11" t="inlineStr">
        <is>
          <t>https://www.geeksforgeeks.org/c-program-for-basic-euclidean-algorithms/</t>
        </is>
      </c>
      <c r="H11" t="inlineStr">
        <is>
          <t>Community Report</t>
        </is>
      </c>
      <c r="I11" t="inlineStr">
        <is>
          <t>Yes</t>
        </is>
      </c>
      <c r="J11" t="inlineStr">
        <is>
          <t>High</t>
        </is>
      </c>
    </row>
    <row r="12" ht="15" customHeight="1">
      <c r="A12" t="n">
        <v>11</v>
      </c>
      <c r="B12" t="inlineStr">
        <is>
          <t>Strings</t>
        </is>
      </c>
      <c r="C12" t="inlineStr">
        <is>
          <t>Grouping</t>
        </is>
      </c>
      <c r="D12" t="inlineStr">
        <is>
          <t>Group Anagrams</t>
        </is>
      </c>
      <c r="E12" t="inlineStr">
        <is>
          <t>Medium</t>
        </is>
      </c>
      <c r="F12" t="inlineStr">
        <is>
          <t>LeetCode</t>
        </is>
      </c>
      <c r="G12" t="inlineStr">
        <is>
          <t>https://leetcode.com/problems/group-anagrams/</t>
        </is>
      </c>
      <c r="H12" t="inlineStr">
        <is>
          <t>Similar</t>
        </is>
      </c>
      <c r="I12" t="inlineStr">
        <is>
          <t>Yes</t>
        </is>
      </c>
      <c r="J12" t="inlineStr">
        <is>
          <t>Medium</t>
        </is>
      </c>
    </row>
    <row r="13" ht="15" customHeight="1">
      <c r="A13" t="n">
        <v>12</v>
      </c>
      <c r="B13" t="inlineStr">
        <is>
          <t>Strings</t>
        </is>
      </c>
      <c r="C13" t="inlineStr">
        <is>
          <t>Counting</t>
        </is>
      </c>
      <c r="D13" t="inlineStr">
        <is>
          <t>First Unique Character in a String</t>
        </is>
      </c>
      <c r="E13" t="inlineStr">
        <is>
          <t>Easy</t>
        </is>
      </c>
      <c r="F13" t="inlineStr">
        <is>
          <t>LeetCode</t>
        </is>
      </c>
      <c r="G13" t="inlineStr">
        <is>
          <t>https://leetcode.com/problems/first-unique-character-in-a-string/</t>
        </is>
      </c>
      <c r="H13" t="inlineStr">
        <is>
          <t>Similar</t>
        </is>
      </c>
      <c r="I13" t="inlineStr">
        <is>
          <t>Yes</t>
        </is>
      </c>
      <c r="J13" t="inlineStr">
        <is>
          <t>Medium</t>
        </is>
      </c>
    </row>
    <row r="14" ht="15" customHeight="1">
      <c r="A14" t="n">
        <v>13</v>
      </c>
      <c r="B14" t="inlineStr">
        <is>
          <t>Strings</t>
        </is>
      </c>
      <c r="C14" t="inlineStr">
        <is>
          <t>Basic</t>
        </is>
      </c>
      <c r="D14" t="inlineStr">
        <is>
          <t>Longest Common Prefix</t>
        </is>
      </c>
      <c r="E14" t="inlineStr">
        <is>
          <t>Easy</t>
        </is>
      </c>
      <c r="F14" t="inlineStr">
        <is>
          <t>LeetCode</t>
        </is>
      </c>
      <c r="G14" t="inlineStr">
        <is>
          <t>https://leetcode.com/problems/longest-common-prefix/</t>
        </is>
      </c>
      <c r="H14" t="inlineStr">
        <is>
          <t>Similar</t>
        </is>
      </c>
      <c r="I14" t="inlineStr">
        <is>
          <t>Yes</t>
        </is>
      </c>
      <c r="J14" t="inlineStr">
        <is>
          <t>Medium</t>
        </is>
      </c>
    </row>
    <row r="15" ht="15" customHeight="1">
      <c r="A15" t="n">
        <v>14</v>
      </c>
      <c r="B15" t="inlineStr">
        <is>
          <t>HashMap / HashSet</t>
        </is>
      </c>
      <c r="C15" t="inlineStr">
        <is>
          <t>Frequency</t>
        </is>
      </c>
      <c r="D15" t="inlineStr">
        <is>
          <t>Top K Frequent Elements</t>
        </is>
      </c>
      <c r="E15" t="inlineStr">
        <is>
          <t>Medium</t>
        </is>
      </c>
      <c r="F15" t="inlineStr">
        <is>
          <t>LeetCode</t>
        </is>
      </c>
      <c r="G15" t="inlineStr">
        <is>
          <t>https://leetcode.com/problems/top-k-frequent-elements/</t>
        </is>
      </c>
      <c r="H15" t="inlineStr">
        <is>
          <t>Similar</t>
        </is>
      </c>
      <c r="I15" t="inlineStr">
        <is>
          <t>Yes</t>
        </is>
      </c>
      <c r="J15" t="inlineStr">
        <is>
          <t>Medium</t>
        </is>
      </c>
    </row>
    <row r="16" ht="15" customHeight="1">
      <c r="A16" t="n">
        <v>15</v>
      </c>
      <c r="B16" t="inlineStr">
        <is>
          <t>HashMap / HashSet</t>
        </is>
      </c>
      <c r="C16" t="inlineStr">
        <is>
          <t>Set Operations</t>
        </is>
      </c>
      <c r="D16" t="inlineStr">
        <is>
          <t>Intersection of Two Arrays</t>
        </is>
      </c>
      <c r="E16" t="inlineStr">
        <is>
          <t>Easy</t>
        </is>
      </c>
      <c r="F16" t="inlineStr">
        <is>
          <t>LeetCode</t>
        </is>
      </c>
      <c r="G16" t="inlineStr">
        <is>
          <t>https://leetcode.com/problems/intersection-of-two-arrays/</t>
        </is>
      </c>
      <c r="H16" t="inlineStr">
        <is>
          <t>Similar</t>
        </is>
      </c>
      <c r="I16" t="inlineStr">
        <is>
          <t>Yes</t>
        </is>
      </c>
      <c r="J16" t="inlineStr">
        <is>
          <t>Medium</t>
        </is>
      </c>
    </row>
    <row r="17" ht="15" customHeight="1">
      <c r="A17" t="n">
        <v>16</v>
      </c>
      <c r="B17" t="inlineStr">
        <is>
          <t>HashMap / HashSet</t>
        </is>
      </c>
      <c r="C17" t="inlineStr">
        <is>
          <t>Subarray</t>
        </is>
      </c>
      <c r="D17" t="inlineStr">
        <is>
          <t>Subarray Sum Equals K</t>
        </is>
      </c>
      <c r="E17" t="inlineStr">
        <is>
          <t>Medium</t>
        </is>
      </c>
      <c r="F17" t="inlineStr">
        <is>
          <t>LeetCode</t>
        </is>
      </c>
      <c r="G17" t="inlineStr">
        <is>
          <t>https://leetcode.com/problems/subarray-sum-equals-k/</t>
        </is>
      </c>
      <c r="H17" t="inlineStr">
        <is>
          <t>Community Report</t>
        </is>
      </c>
      <c r="I17" t="inlineStr">
        <is>
          <t>Yes</t>
        </is>
      </c>
      <c r="J17" t="inlineStr">
        <is>
          <t>High</t>
        </is>
      </c>
    </row>
    <row r="18" ht="15" customHeight="1">
      <c r="A18" t="n">
        <v>17</v>
      </c>
      <c r="B18" t="inlineStr">
        <is>
          <t>HashMap / HashSet</t>
        </is>
      </c>
      <c r="C18" t="inlineStr">
        <is>
          <t>Sequence</t>
        </is>
      </c>
      <c r="D18" t="inlineStr">
        <is>
          <t>Longest Consecutive Sequence</t>
        </is>
      </c>
      <c r="E18" t="inlineStr">
        <is>
          <t>Medium</t>
        </is>
      </c>
      <c r="F18" t="inlineStr">
        <is>
          <t>LeetCode</t>
        </is>
      </c>
      <c r="G18" t="inlineStr">
        <is>
          <t>https://leetcode.com/problems/longest-consecutive-sequence/</t>
        </is>
      </c>
      <c r="H18" t="inlineStr">
        <is>
          <t>Similar</t>
        </is>
      </c>
      <c r="I18" t="inlineStr">
        <is>
          <t>Yes</t>
        </is>
      </c>
      <c r="J18" t="inlineStr">
        <is>
          <t>Medium</t>
        </is>
      </c>
    </row>
    <row r="19" ht="15" customHeight="1">
      <c r="A19" t="n">
        <v>18</v>
      </c>
      <c r="B19" t="inlineStr">
        <is>
          <t>Intervals</t>
        </is>
      </c>
      <c r="C19" t="inlineStr">
        <is>
          <t>Sorting + Merge</t>
        </is>
      </c>
      <c r="D19" t="inlineStr">
        <is>
          <t>Merge Intervals</t>
        </is>
      </c>
      <c r="E19" t="inlineStr">
        <is>
          <t>Medium</t>
        </is>
      </c>
      <c r="F19" t="inlineStr">
        <is>
          <t>LeetCode</t>
        </is>
      </c>
      <c r="G19" t="inlineStr">
        <is>
          <t>https://leetcode.com/problems/merge-intervals/</t>
        </is>
      </c>
      <c r="H19" t="inlineStr">
        <is>
          <t>Community Report</t>
        </is>
      </c>
      <c r="I19" t="inlineStr">
        <is>
          <t>Yes</t>
        </is>
      </c>
      <c r="J19" t="inlineStr">
        <is>
          <t>High</t>
        </is>
      </c>
    </row>
    <row r="20" ht="15" customHeight="1">
      <c r="A20" t="n">
        <v>19</v>
      </c>
      <c r="B20" t="inlineStr">
        <is>
          <t>Sorting</t>
        </is>
      </c>
      <c r="C20" t="inlineStr">
        <is>
          <t>Custom Sort</t>
        </is>
      </c>
      <c r="D20" t="inlineStr">
        <is>
          <t>Sort an Array</t>
        </is>
      </c>
      <c r="E20" t="inlineStr">
        <is>
          <t>Easy-Medium</t>
        </is>
      </c>
      <c r="F20" t="inlineStr">
        <is>
          <t>LeetCode</t>
        </is>
      </c>
      <c r="G20" t="inlineStr">
        <is>
          <t>https://leetcode.com/problems/sort-an-array/</t>
        </is>
      </c>
      <c r="H20" t="inlineStr">
        <is>
          <t>Similar</t>
        </is>
      </c>
      <c r="I20" t="inlineStr">
        <is>
          <t>Yes</t>
        </is>
      </c>
      <c r="J20" t="inlineStr">
        <is>
          <t>Medium</t>
        </is>
      </c>
    </row>
    <row r="21" ht="15.75" customHeight="1">
      <c r="A21" t="n">
        <v>20</v>
      </c>
      <c r="B21" t="inlineStr">
        <is>
          <t>Sorting</t>
        </is>
      </c>
      <c r="C21" t="inlineStr">
        <is>
          <t>Kth Element</t>
        </is>
      </c>
      <c r="D21" t="inlineStr">
        <is>
          <t>Kth Largest Element in an Array</t>
        </is>
      </c>
      <c r="E21" t="inlineStr">
        <is>
          <t>Medium</t>
        </is>
      </c>
      <c r="F21" t="inlineStr">
        <is>
          <t>LeetCode</t>
        </is>
      </c>
      <c r="G21" t="inlineStr">
        <is>
          <t>https://leetcode.com/problems/kth-largest-element-in-an-array/</t>
        </is>
      </c>
      <c r="H21" t="inlineStr">
        <is>
          <t>Similar</t>
        </is>
      </c>
      <c r="I21" t="inlineStr">
        <is>
          <t>Yes</t>
        </is>
      </c>
      <c r="J21" t="inlineStr">
        <is>
          <t>Medium</t>
        </is>
      </c>
    </row>
    <row r="22" ht="15.75" customHeight="1">
      <c r="A22" t="n">
        <v>21</v>
      </c>
      <c r="B22" t="inlineStr">
        <is>
          <t>Intervals</t>
        </is>
      </c>
      <c r="C22" t="inlineStr">
        <is>
          <t>Overlap Check</t>
        </is>
      </c>
      <c r="D22" t="inlineStr">
        <is>
          <t>Meeting Rooms</t>
        </is>
      </c>
      <c r="E22" t="inlineStr">
        <is>
          <t>Easy</t>
        </is>
      </c>
      <c r="F22" t="inlineStr">
        <is>
          <t>LeetCode</t>
        </is>
      </c>
      <c r="G22" t="inlineStr">
        <is>
          <t>https://leetcode.com/problems/meeting-rooms/</t>
        </is>
      </c>
      <c r="H22" t="inlineStr">
        <is>
          <t>Similar</t>
        </is>
      </c>
      <c r="I22" t="inlineStr">
        <is>
          <t>Yes</t>
        </is>
      </c>
      <c r="J22" t="inlineStr">
        <is>
          <t>Medium</t>
        </is>
      </c>
    </row>
    <row r="23" ht="15.75" customHeight="1">
      <c r="A23" t="n">
        <v>22</v>
      </c>
      <c r="B23" t="inlineStr">
        <is>
          <t>Binary Search</t>
        </is>
      </c>
      <c r="C23" t="inlineStr">
        <is>
          <t>Basic</t>
        </is>
      </c>
      <c r="D23" t="inlineStr">
        <is>
          <t>Binary Search</t>
        </is>
      </c>
      <c r="E23" t="inlineStr">
        <is>
          <t>Easy</t>
        </is>
      </c>
      <c r="F23" t="inlineStr">
        <is>
          <t>LeetCode</t>
        </is>
      </c>
      <c r="G23" t="inlineStr">
        <is>
          <t>https://leetcode.com/problems/binary-search/</t>
        </is>
      </c>
      <c r="H23" t="inlineStr">
        <is>
          <t>Community Report</t>
        </is>
      </c>
      <c r="I23" t="inlineStr">
        <is>
          <t>Yes</t>
        </is>
      </c>
      <c r="J23" t="inlineStr">
        <is>
          <t>High</t>
        </is>
      </c>
    </row>
    <row r="24" ht="15.75" customHeight="1">
      <c r="A24" t="n">
        <v>23</v>
      </c>
      <c r="B24" t="inlineStr">
        <is>
          <t>Binary Search</t>
        </is>
      </c>
      <c r="C24" t="inlineStr">
        <is>
          <t>Insert Position</t>
        </is>
      </c>
      <c r="D24" t="inlineStr">
        <is>
          <t>Search Insert Position</t>
        </is>
      </c>
      <c r="E24" t="inlineStr">
        <is>
          <t>Easy</t>
        </is>
      </c>
      <c r="F24" t="inlineStr">
        <is>
          <t>LeetCode</t>
        </is>
      </c>
      <c r="G24" t="inlineStr">
        <is>
          <t>https://leetcode.com/problems/search-insert-position/</t>
        </is>
      </c>
      <c r="H24" t="inlineStr">
        <is>
          <t>Community Report</t>
        </is>
      </c>
      <c r="I24" t="inlineStr">
        <is>
          <t>Yes</t>
        </is>
      </c>
      <c r="J24" t="inlineStr">
        <is>
          <t>High</t>
        </is>
      </c>
    </row>
    <row r="25" ht="15.75" customHeight="1">
      <c r="A25" t="n">
        <v>24</v>
      </c>
      <c r="B25" t="inlineStr">
        <is>
          <t>Binary Search</t>
        </is>
      </c>
      <c r="C25" t="inlineStr">
        <is>
          <t>Boundary Search</t>
        </is>
      </c>
      <c r="D25" t="inlineStr">
        <is>
          <t>First Bad Version</t>
        </is>
      </c>
      <c r="E25" t="inlineStr">
        <is>
          <t>Easy</t>
        </is>
      </c>
      <c r="F25" t="inlineStr">
        <is>
          <t>LeetCode</t>
        </is>
      </c>
      <c r="G25" t="inlineStr">
        <is>
          <t>https://leetcode.com/problems/first-bad-version/</t>
        </is>
      </c>
      <c r="H25" t="inlineStr">
        <is>
          <t>Similar</t>
        </is>
      </c>
      <c r="I25" t="inlineStr">
        <is>
          <t>Yes</t>
        </is>
      </c>
      <c r="J25" t="inlineStr">
        <is>
          <t>Medium</t>
        </is>
      </c>
    </row>
    <row r="26" ht="15.75" customHeight="1">
      <c r="A26" t="n">
        <v>25</v>
      </c>
      <c r="B26" t="inlineStr">
        <is>
          <t>Binary Search</t>
        </is>
      </c>
      <c r="C26" t="inlineStr">
        <is>
          <t>Rotated Array</t>
        </is>
      </c>
      <c r="D26" t="inlineStr">
        <is>
          <t>Search in Rotated Sorted Array</t>
        </is>
      </c>
      <c r="E26" t="inlineStr">
        <is>
          <t>Medium</t>
        </is>
      </c>
      <c r="F26" t="inlineStr">
        <is>
          <t>LeetCode</t>
        </is>
      </c>
      <c r="G26" t="inlineStr">
        <is>
          <t>https://leetcode.com/problems/search-in-rotated-sorted-array/</t>
        </is>
      </c>
      <c r="H26" t="inlineStr">
        <is>
          <t>Similar</t>
        </is>
      </c>
      <c r="I26" t="inlineStr">
        <is>
          <t>Yes</t>
        </is>
      </c>
      <c r="J26" t="inlineStr">
        <is>
          <t>Medium</t>
        </is>
      </c>
    </row>
    <row r="27" ht="15.75" customHeight="1">
      <c r="A27" t="n">
        <v>26</v>
      </c>
      <c r="B27" t="inlineStr">
        <is>
          <t>Binary Search</t>
        </is>
      </c>
      <c r="C27" t="inlineStr">
        <is>
          <t>Range Search</t>
        </is>
      </c>
      <c r="D27" t="inlineStr">
        <is>
          <t>Find First and Last Position of Element in Sorted Array</t>
        </is>
      </c>
      <c r="E27" t="inlineStr">
        <is>
          <t>Medium</t>
        </is>
      </c>
      <c r="F27" t="inlineStr">
        <is>
          <t>LeetCode</t>
        </is>
      </c>
      <c r="G27" t="inlineStr">
        <is>
          <t>https://leetcode.com/problems/find-first-and-last-position-of-element-in-sorted-array/</t>
        </is>
      </c>
      <c r="H27" t="inlineStr">
        <is>
          <t>Similar</t>
        </is>
      </c>
      <c r="I27" t="inlineStr">
        <is>
          <t>Yes</t>
        </is>
      </c>
      <c r="J27" t="inlineStr">
        <is>
          <t>Medium</t>
        </is>
      </c>
    </row>
    <row r="28" ht="15.75" customHeight="1">
      <c r="A28" t="n">
        <v>27</v>
      </c>
      <c r="B28" t="inlineStr">
        <is>
          <t>Two Pointers</t>
        </is>
      </c>
      <c r="C28" t="inlineStr">
        <is>
          <t>Sum</t>
        </is>
      </c>
      <c r="D28" t="inlineStr">
        <is>
          <t>3Sum</t>
        </is>
      </c>
      <c r="E28" t="inlineStr">
        <is>
          <t>Medium</t>
        </is>
      </c>
      <c r="F28" t="inlineStr">
        <is>
          <t>LeetCode</t>
        </is>
      </c>
      <c r="G28" t="inlineStr">
        <is>
          <t>https://leetcode.com/problems/3sum/</t>
        </is>
      </c>
      <c r="H28" t="inlineStr">
        <is>
          <t>Similar</t>
        </is>
      </c>
      <c r="I28" t="inlineStr">
        <is>
          <t>Yes</t>
        </is>
      </c>
      <c r="J28" t="inlineStr">
        <is>
          <t>Medium</t>
        </is>
      </c>
    </row>
    <row r="29" ht="15.75" customHeight="1">
      <c r="A29" t="n">
        <v>28</v>
      </c>
      <c r="B29" t="inlineStr">
        <is>
          <t>Two Pointers</t>
        </is>
      </c>
      <c r="C29" t="inlineStr">
        <is>
          <t>Container</t>
        </is>
      </c>
      <c r="D29" t="inlineStr">
        <is>
          <t>Container With Most Water</t>
        </is>
      </c>
      <c r="E29" t="inlineStr">
        <is>
          <t>Medium</t>
        </is>
      </c>
      <c r="F29" t="inlineStr">
        <is>
          <t>LeetCode</t>
        </is>
      </c>
      <c r="G29" t="inlineStr">
        <is>
          <t>https://leetcode.com/problems/container-with-most-water/</t>
        </is>
      </c>
      <c r="H29" t="inlineStr">
        <is>
          <t>Similar</t>
        </is>
      </c>
      <c r="I29" t="inlineStr">
        <is>
          <t>Yes</t>
        </is>
      </c>
      <c r="J29" t="inlineStr">
        <is>
          <t>Medium</t>
        </is>
      </c>
    </row>
    <row r="30" ht="15.75" customHeight="1">
      <c r="A30" t="n">
        <v>29</v>
      </c>
      <c r="B30" t="inlineStr">
        <is>
          <t>Two Pointers</t>
        </is>
      </c>
      <c r="C30" t="inlineStr">
        <is>
          <t>Removal</t>
        </is>
      </c>
      <c r="D30" t="inlineStr">
        <is>
          <t>Remove Duplicates from Sorted Array</t>
        </is>
      </c>
      <c r="E30" t="inlineStr">
        <is>
          <t>Easy</t>
        </is>
      </c>
      <c r="F30" t="inlineStr">
        <is>
          <t>LeetCode</t>
        </is>
      </c>
      <c r="G30" t="inlineStr">
        <is>
          <t>https://leetcode.com/problems/remove-duplicates-from-sorted-array/</t>
        </is>
      </c>
      <c r="H30" t="inlineStr">
        <is>
          <t>Community Report</t>
        </is>
      </c>
      <c r="I30" t="inlineStr">
        <is>
          <t>Yes</t>
        </is>
      </c>
      <c r="J30" t="inlineStr">
        <is>
          <t>High</t>
        </is>
      </c>
    </row>
    <row r="31" ht="15.75" customHeight="1">
      <c r="A31" t="n">
        <v>30</v>
      </c>
      <c r="B31" t="inlineStr">
        <is>
          <t>Number Theory</t>
        </is>
      </c>
      <c r="C31" t="inlineStr">
        <is>
          <t>LCM</t>
        </is>
      </c>
      <c r="D31" t="inlineStr">
        <is>
          <t>LCM of Two Numbers</t>
        </is>
      </c>
      <c r="E31" t="inlineStr">
        <is>
          <t>Easy</t>
        </is>
      </c>
      <c r="F31" t="inlineStr">
        <is>
          <t>GeeksforGeeks</t>
        </is>
      </c>
      <c r="G31" t="inlineStr">
        <is>
          <t>https://www.geeksforgeeks.org/program-to-find-lcm-of-two-numbers/</t>
        </is>
      </c>
      <c r="H31" t="inlineStr">
        <is>
          <t>Community Report</t>
        </is>
      </c>
      <c r="I31" t="inlineStr">
        <is>
          <t>Yes</t>
        </is>
      </c>
      <c r="J31" t="inlineStr">
        <is>
          <t>High</t>
        </is>
      </c>
    </row>
    <row r="32" ht="15.75" customHeight="1">
      <c r="A32" t="n">
        <v>31</v>
      </c>
      <c r="B32" t="inlineStr">
        <is>
          <t>Sliding Window</t>
        </is>
      </c>
      <c r="C32" t="inlineStr">
        <is>
          <t>Fixed Window</t>
        </is>
      </c>
      <c r="D32" t="inlineStr">
        <is>
          <t>Maximum Average Subarray I</t>
        </is>
      </c>
      <c r="E32" t="inlineStr">
        <is>
          <t>Easy</t>
        </is>
      </c>
      <c r="F32" t="inlineStr">
        <is>
          <t>LeetCode</t>
        </is>
      </c>
      <c r="G32" t="inlineStr">
        <is>
          <t>https://leetcode.com/problems/maximum-average-subarray-i/</t>
        </is>
      </c>
      <c r="H32" t="inlineStr">
        <is>
          <t>Similar</t>
        </is>
      </c>
      <c r="I32" t="inlineStr">
        <is>
          <t>Yes</t>
        </is>
      </c>
      <c r="J32" t="inlineStr">
        <is>
          <t>Medium</t>
        </is>
      </c>
    </row>
    <row r="33" ht="15.75" customHeight="1">
      <c r="A33" t="n">
        <v>32</v>
      </c>
      <c r="B33" t="inlineStr">
        <is>
          <t>Sliding Window</t>
        </is>
      </c>
      <c r="C33" t="inlineStr">
        <is>
          <t>Variable Window</t>
        </is>
      </c>
      <c r="D33" t="inlineStr">
        <is>
          <t>Minimum Size Subarray Sum</t>
        </is>
      </c>
      <c r="E33" t="inlineStr">
        <is>
          <t>Medium</t>
        </is>
      </c>
      <c r="F33" t="inlineStr">
        <is>
          <t>LeetCode</t>
        </is>
      </c>
      <c r="G33" t="inlineStr">
        <is>
          <t>https://leetcode.com/problems/minimum-size-subarray-sum/</t>
        </is>
      </c>
      <c r="H33" t="inlineStr">
        <is>
          <t>Community Report</t>
        </is>
      </c>
      <c r="I33" t="inlineStr">
        <is>
          <t>Yes</t>
        </is>
      </c>
      <c r="J33" t="inlineStr">
        <is>
          <t>High</t>
        </is>
      </c>
    </row>
    <row r="34" ht="15.75" customHeight="1">
      <c r="A34" t="n">
        <v>33</v>
      </c>
      <c r="B34" t="inlineStr">
        <is>
          <t>Sliding Window</t>
        </is>
      </c>
      <c r="C34" t="inlineStr">
        <is>
          <t>Char Frequency</t>
        </is>
      </c>
      <c r="D34" t="inlineStr">
        <is>
          <t>Permutation in String</t>
        </is>
      </c>
      <c r="E34" t="inlineStr">
        <is>
          <t>Medium</t>
        </is>
      </c>
      <c r="F34" t="inlineStr">
        <is>
          <t>LeetCode</t>
        </is>
      </c>
      <c r="G34" t="inlineStr">
        <is>
          <t>https://leetcode.com/problems/permutation-in-string/</t>
        </is>
      </c>
      <c r="H34" t="inlineStr">
        <is>
          <t>Similar</t>
        </is>
      </c>
      <c r="I34" t="inlineStr">
        <is>
          <t>Yes</t>
        </is>
      </c>
      <c r="J34" t="inlineStr">
        <is>
          <t>Medium</t>
        </is>
      </c>
    </row>
    <row r="35" ht="15.75" customHeight="1">
      <c r="A35" t="n">
        <v>34</v>
      </c>
      <c r="B35" t="inlineStr">
        <is>
          <t>Prefix Sum</t>
        </is>
      </c>
      <c r="C35" t="inlineStr">
        <is>
          <t>Range Sum</t>
        </is>
      </c>
      <c r="D35" t="inlineStr">
        <is>
          <t>Range Sum Query - Immutable</t>
        </is>
      </c>
      <c r="E35" t="inlineStr">
        <is>
          <t>Easy</t>
        </is>
      </c>
      <c r="F35" t="inlineStr">
        <is>
          <t>LeetCode</t>
        </is>
      </c>
      <c r="G35" t="inlineStr">
        <is>
          <t>https://leetcode.com/problems/range-sum-query-immutable/</t>
        </is>
      </c>
      <c r="H35" t="inlineStr">
        <is>
          <t>Similar</t>
        </is>
      </c>
      <c r="I35" t="inlineStr">
        <is>
          <t>Yes</t>
        </is>
      </c>
      <c r="J35" t="inlineStr">
        <is>
          <t>Medium</t>
        </is>
      </c>
    </row>
    <row r="36" ht="15.75" customHeight="1">
      <c r="A36" t="n">
        <v>35</v>
      </c>
      <c r="B36" t="inlineStr">
        <is>
          <t>Prefix Sum</t>
        </is>
      </c>
      <c r="C36" t="inlineStr">
        <is>
          <t>Equilibrium Point</t>
        </is>
      </c>
      <c r="D36" t="inlineStr">
        <is>
          <t>Find Pivot Index</t>
        </is>
      </c>
      <c r="E36" t="inlineStr">
        <is>
          <t>Easy</t>
        </is>
      </c>
      <c r="F36" t="inlineStr">
        <is>
          <t>LeetCode</t>
        </is>
      </c>
      <c r="G36" t="inlineStr">
        <is>
          <t>https://leetcode.com/problems/find-pivot-index/</t>
        </is>
      </c>
      <c r="H36" t="inlineStr">
        <is>
          <t>Similar</t>
        </is>
      </c>
      <c r="I36" t="inlineStr">
        <is>
          <t>Yes</t>
        </is>
      </c>
      <c r="J36" t="inlineStr">
        <is>
          <t>Medium</t>
        </is>
      </c>
    </row>
    <row r="37" ht="15.75" customHeight="1">
      <c r="A37" t="n">
        <v>36</v>
      </c>
      <c r="B37" t="inlineStr">
        <is>
          <t>Matrix</t>
        </is>
      </c>
      <c r="C37" t="inlineStr">
        <is>
          <t>Traversal</t>
        </is>
      </c>
      <c r="D37" t="inlineStr">
        <is>
          <t>Spiral Matrix</t>
        </is>
      </c>
      <c r="E37" t="inlineStr">
        <is>
          <t>Medium</t>
        </is>
      </c>
      <c r="F37" t="inlineStr">
        <is>
          <t>LeetCode</t>
        </is>
      </c>
      <c r="G37" t="inlineStr">
        <is>
          <t>https://leetcode.com/problems/spiral-matrix/</t>
        </is>
      </c>
      <c r="H37" t="inlineStr">
        <is>
          <t>Community Report</t>
        </is>
      </c>
      <c r="I37" t="inlineStr">
        <is>
          <t>Yes</t>
        </is>
      </c>
      <c r="J37" t="inlineStr">
        <is>
          <t>High</t>
        </is>
      </c>
    </row>
    <row r="38" ht="15.75" customHeight="1">
      <c r="A38" t="n">
        <v>37</v>
      </c>
      <c r="B38" t="inlineStr">
        <is>
          <t>Matrix</t>
        </is>
      </c>
      <c r="C38" t="inlineStr">
        <is>
          <t>Rotation</t>
        </is>
      </c>
      <c r="D38" t="inlineStr">
        <is>
          <t>Rotate Image</t>
        </is>
      </c>
      <c r="E38" t="inlineStr">
        <is>
          <t>Medium</t>
        </is>
      </c>
      <c r="F38" t="inlineStr">
        <is>
          <t>LeetCode</t>
        </is>
      </c>
      <c r="G38" t="inlineStr">
        <is>
          <t>https://leetcode.com/problems/rotate-image/</t>
        </is>
      </c>
      <c r="H38" t="inlineStr">
        <is>
          <t>Similar</t>
        </is>
      </c>
      <c r="I38" t="inlineStr">
        <is>
          <t>Yes</t>
        </is>
      </c>
      <c r="J38" t="inlineStr">
        <is>
          <t>Medium</t>
        </is>
      </c>
    </row>
    <row r="39" ht="15.75" customHeight="1">
      <c r="A39" t="n">
        <v>38</v>
      </c>
      <c r="B39" t="inlineStr">
        <is>
          <t>Matrix</t>
        </is>
      </c>
      <c r="C39" t="inlineStr">
        <is>
          <t>Search</t>
        </is>
      </c>
      <c r="D39" t="inlineStr">
        <is>
          <t>Search a 2D Matrix</t>
        </is>
      </c>
      <c r="E39" t="inlineStr">
        <is>
          <t>Medium</t>
        </is>
      </c>
      <c r="F39" t="inlineStr">
        <is>
          <t>LeetCode</t>
        </is>
      </c>
      <c r="G39" t="inlineStr">
        <is>
          <t>https://leetcode.com/problems/search-a-2d-matrix/</t>
        </is>
      </c>
      <c r="H39" t="inlineStr">
        <is>
          <t>Similar</t>
        </is>
      </c>
      <c r="I39" t="inlineStr">
        <is>
          <t>Yes</t>
        </is>
      </c>
      <c r="J39" t="inlineStr">
        <is>
          <t>Medium</t>
        </is>
      </c>
    </row>
    <row r="40" ht="15.75" customHeight="1">
      <c r="A40" t="n">
        <v>39</v>
      </c>
      <c r="B40" t="inlineStr">
        <is>
          <t>Matrix</t>
        </is>
      </c>
      <c r="C40" t="inlineStr">
        <is>
          <t>Modification</t>
        </is>
      </c>
      <c r="D40" t="inlineStr">
        <is>
          <t>Set Matrix Zeroes</t>
        </is>
      </c>
      <c r="E40" t="inlineStr">
        <is>
          <t>Medium</t>
        </is>
      </c>
      <c r="F40" t="inlineStr">
        <is>
          <t>LeetCode</t>
        </is>
      </c>
      <c r="G40" t="inlineStr">
        <is>
          <t>https://leetcode.com/problems/set-matrix-zeroes/</t>
        </is>
      </c>
      <c r="H40" t="inlineStr">
        <is>
          <t>Similar</t>
        </is>
      </c>
      <c r="I40" t="inlineStr">
        <is>
          <t>Yes</t>
        </is>
      </c>
      <c r="J40" t="inlineStr">
        <is>
          <t>Medium</t>
        </is>
      </c>
    </row>
    <row r="41" ht="15.75" customHeight="1">
      <c r="A41" t="n">
        <v>40</v>
      </c>
      <c r="B41" t="inlineStr">
        <is>
          <t>Recursion</t>
        </is>
      </c>
      <c r="C41" t="inlineStr">
        <is>
          <t>Basic</t>
        </is>
      </c>
      <c r="D41" t="inlineStr">
        <is>
          <t>Fibonacci Number</t>
        </is>
      </c>
      <c r="E41" t="inlineStr">
        <is>
          <t>Easy</t>
        </is>
      </c>
      <c r="F41" t="inlineStr">
        <is>
          <t>LeetCode</t>
        </is>
      </c>
      <c r="G41" t="inlineStr">
        <is>
          <t>https://leetcode.com/problems/fibonacci-number/</t>
        </is>
      </c>
      <c r="H41" t="inlineStr">
        <is>
          <t>Community Report</t>
        </is>
      </c>
      <c r="I41" t="inlineStr">
        <is>
          <t>Yes</t>
        </is>
      </c>
      <c r="J41" t="inlineStr">
        <is>
          <t>High</t>
        </is>
      </c>
    </row>
    <row r="42" ht="15.75" customHeight="1">
      <c r="A42" t="n">
        <v>41</v>
      </c>
      <c r="B42" t="inlineStr">
        <is>
          <t>Recursion</t>
        </is>
      </c>
      <c r="C42" t="inlineStr">
        <is>
          <t>Power/Exponent</t>
        </is>
      </c>
      <c r="D42" t="inlineStr">
        <is>
          <t>Pow(x, n)</t>
        </is>
      </c>
      <c r="E42" t="inlineStr">
        <is>
          <t>Medium</t>
        </is>
      </c>
      <c r="F42" t="inlineStr">
        <is>
          <t>LeetCode</t>
        </is>
      </c>
      <c r="G42" t="inlineStr">
        <is>
          <t>https://leetcode.com/problems/powx-n/</t>
        </is>
      </c>
      <c r="H42" t="inlineStr">
        <is>
          <t>Similar</t>
        </is>
      </c>
      <c r="I42" t="inlineStr">
        <is>
          <t>Yes</t>
        </is>
      </c>
      <c r="J42" t="inlineStr">
        <is>
          <t>Low</t>
        </is>
      </c>
    </row>
    <row r="43" ht="15.75" customHeight="1">
      <c r="A43" t="n">
        <v>42</v>
      </c>
      <c r="B43" t="inlineStr">
        <is>
          <t>Mathematics</t>
        </is>
      </c>
      <c r="C43" t="inlineStr">
        <is>
          <t>Digit Sum</t>
        </is>
      </c>
      <c r="D43" t="inlineStr">
        <is>
          <t>Add Digits</t>
        </is>
      </c>
      <c r="E43" t="inlineStr">
        <is>
          <t>Easy</t>
        </is>
      </c>
      <c r="F43" t="inlineStr">
        <is>
          <t>LeetCode</t>
        </is>
      </c>
      <c r="G43" t="inlineStr">
        <is>
          <t>https://leetcode.com/problems/add-digits/</t>
        </is>
      </c>
      <c r="H43" t="inlineStr">
        <is>
          <t>Similar</t>
        </is>
      </c>
      <c r="I43" t="inlineStr">
        <is>
          <t>Yes</t>
        </is>
      </c>
      <c r="J43" t="inlineStr">
        <is>
          <t>Medium</t>
        </is>
      </c>
    </row>
    <row r="44" ht="15.75" customHeight="1">
      <c r="A44" t="n">
        <v>43</v>
      </c>
      <c r="B44" t="inlineStr">
        <is>
          <t>Basic Backtracking</t>
        </is>
      </c>
      <c r="C44" t="inlineStr">
        <is>
          <t>Subsets</t>
        </is>
      </c>
      <c r="D44" t="inlineStr">
        <is>
          <t>Subsets</t>
        </is>
      </c>
      <c r="E44" t="inlineStr">
        <is>
          <t>Medium</t>
        </is>
      </c>
      <c r="F44" t="inlineStr">
        <is>
          <t>LeetCode</t>
        </is>
      </c>
      <c r="G44" t="inlineStr">
        <is>
          <t>https://leetcode.com/problems/subsets/</t>
        </is>
      </c>
      <c r="H44" t="inlineStr">
        <is>
          <t>Similar</t>
        </is>
      </c>
      <c r="I44" t="inlineStr">
        <is>
          <t>Yes</t>
        </is>
      </c>
      <c r="J44" t="inlineStr">
        <is>
          <t>Medium</t>
        </is>
      </c>
    </row>
    <row r="45" ht="15.75" customHeight="1">
      <c r="A45" t="n">
        <v>44</v>
      </c>
      <c r="B45" t="inlineStr">
        <is>
          <t>Basic Backtracking</t>
        </is>
      </c>
      <c r="C45" t="inlineStr">
        <is>
          <t>Permutations</t>
        </is>
      </c>
      <c r="D45" t="inlineStr">
        <is>
          <t>Permutations</t>
        </is>
      </c>
      <c r="E45" t="inlineStr">
        <is>
          <t>Medium</t>
        </is>
      </c>
      <c r="F45" t="inlineStr">
        <is>
          <t>LeetCode</t>
        </is>
      </c>
      <c r="G45" t="inlineStr">
        <is>
          <t>https://leetcode.com/problems/permutations/</t>
        </is>
      </c>
      <c r="H45" t="inlineStr">
        <is>
          <t>Similar</t>
        </is>
      </c>
      <c r="I45" t="inlineStr">
        <is>
          <t>Yes</t>
        </is>
      </c>
      <c r="J45" t="inlineStr">
        <is>
          <t>Medium</t>
        </is>
      </c>
    </row>
    <row r="46" ht="15.75" customHeight="1">
      <c r="A46" t="n">
        <v>45</v>
      </c>
      <c r="B46" t="inlineStr">
        <is>
          <t>Basic Backtracking</t>
        </is>
      </c>
      <c r="C46" t="inlineStr">
        <is>
          <t>Combination</t>
        </is>
      </c>
      <c r="D46" t="inlineStr">
        <is>
          <t>Combination Sum</t>
        </is>
      </c>
      <c r="E46" t="inlineStr">
        <is>
          <t>Medium</t>
        </is>
      </c>
      <c r="F46" t="inlineStr">
        <is>
          <t>LeetCode</t>
        </is>
      </c>
      <c r="G46" t="inlineStr">
        <is>
          <t>https://leetcode.com/problems/combination-sum/</t>
        </is>
      </c>
      <c r="H46" t="inlineStr">
        <is>
          <t>Similar</t>
        </is>
      </c>
      <c r="I46" t="inlineStr">
        <is>
          <t>Yes</t>
        </is>
      </c>
      <c r="J46" t="inlineStr">
        <is>
          <t>Medium</t>
        </is>
      </c>
    </row>
    <row r="47" ht="15.75" customHeight="1">
      <c r="A47" t="n">
        <v>46</v>
      </c>
      <c r="B47" t="inlineStr">
        <is>
          <t>Stack</t>
        </is>
      </c>
      <c r="C47" t="inlineStr">
        <is>
          <t>Validity Check</t>
        </is>
      </c>
      <c r="D47" t="inlineStr">
        <is>
          <t>Valid Parentheses</t>
        </is>
      </c>
      <c r="E47" t="inlineStr">
        <is>
          <t>Easy</t>
        </is>
      </c>
      <c r="F47" t="inlineStr">
        <is>
          <t>LeetCode</t>
        </is>
      </c>
      <c r="G47" t="inlineStr">
        <is>
          <t>https://leetcode.com/problems/valid-parentheses/</t>
        </is>
      </c>
      <c r="H47" t="inlineStr">
        <is>
          <t>Community Report</t>
        </is>
      </c>
      <c r="I47" t="inlineStr">
        <is>
          <t>Yes</t>
        </is>
      </c>
      <c r="J47" t="inlineStr">
        <is>
          <t>High</t>
        </is>
      </c>
    </row>
    <row r="48" ht="15.75" customHeight="1">
      <c r="A48" t="n">
        <v>47</v>
      </c>
      <c r="B48" t="inlineStr">
        <is>
          <t>Stack</t>
        </is>
      </c>
      <c r="C48" t="inlineStr">
        <is>
          <t>Design</t>
        </is>
      </c>
      <c r="D48" t="inlineStr">
        <is>
          <t>Min Stack</t>
        </is>
      </c>
      <c r="E48" t="inlineStr">
        <is>
          <t>Medium</t>
        </is>
      </c>
      <c r="F48" t="inlineStr">
        <is>
          <t>LeetCode</t>
        </is>
      </c>
      <c r="G48" t="inlineStr">
        <is>
          <t>https://leetcode.com/problems/min-stack/</t>
        </is>
      </c>
      <c r="H48" t="inlineStr">
        <is>
          <t>Community Report</t>
        </is>
      </c>
      <c r="I48" t="inlineStr">
        <is>
          <t>Yes</t>
        </is>
      </c>
      <c r="J48" t="inlineStr">
        <is>
          <t>High</t>
        </is>
      </c>
    </row>
    <row r="49" ht="15.75" customHeight="1">
      <c r="A49" t="n">
        <v>48</v>
      </c>
      <c r="B49" t="inlineStr">
        <is>
          <t>Stack</t>
        </is>
      </c>
      <c r="C49" t="inlineStr">
        <is>
          <t>Evaluation</t>
        </is>
      </c>
      <c r="D49" t="inlineStr">
        <is>
          <t>Evaluate Reverse Polish Notation</t>
        </is>
      </c>
      <c r="E49" t="inlineStr">
        <is>
          <t>Medium</t>
        </is>
      </c>
      <c r="F49" t="inlineStr">
        <is>
          <t>LeetCode</t>
        </is>
      </c>
      <c r="G49" t="inlineStr">
        <is>
          <t>https://leetcode.com/problems/evaluate-reverse-polish-notation/</t>
        </is>
      </c>
      <c r="H49" t="inlineStr">
        <is>
          <t>Similar</t>
        </is>
      </c>
      <c r="I49" t="inlineStr">
        <is>
          <t>Yes</t>
        </is>
      </c>
      <c r="J49" t="inlineStr">
        <is>
          <t>Medium</t>
        </is>
      </c>
    </row>
    <row r="50" ht="15.75" customHeight="1">
      <c r="A50" t="n">
        <v>49</v>
      </c>
      <c r="B50" t="inlineStr">
        <is>
          <t>Stack</t>
        </is>
      </c>
      <c r="C50" t="inlineStr">
        <is>
          <t>Monotonic Stack</t>
        </is>
      </c>
      <c r="D50" t="inlineStr">
        <is>
          <t>Daily Temperatures</t>
        </is>
      </c>
      <c r="E50" t="inlineStr">
        <is>
          <t>Medium</t>
        </is>
      </c>
      <c r="F50" t="inlineStr">
        <is>
          <t>LeetCode</t>
        </is>
      </c>
      <c r="G50" t="inlineStr">
        <is>
          <t>https://leetcode.com/problems/daily-temperatures/</t>
        </is>
      </c>
      <c r="H50" t="inlineStr">
        <is>
          <t>Similar</t>
        </is>
      </c>
      <c r="I50" t="inlineStr">
        <is>
          <t>Yes</t>
        </is>
      </c>
      <c r="J50" t="inlineStr">
        <is>
          <t>Medium</t>
        </is>
      </c>
    </row>
    <row r="51" ht="15.75" customHeight="1">
      <c r="A51" t="n">
        <v>50</v>
      </c>
      <c r="B51" t="inlineStr">
        <is>
          <t>Stack</t>
        </is>
      </c>
      <c r="C51" t="inlineStr">
        <is>
          <t>Path Simplification</t>
        </is>
      </c>
      <c r="D51" t="inlineStr">
        <is>
          <t>Simplify Path</t>
        </is>
      </c>
      <c r="E51" t="inlineStr">
        <is>
          <t>Medium</t>
        </is>
      </c>
      <c r="F51" t="inlineStr">
        <is>
          <t>LeetCode</t>
        </is>
      </c>
      <c r="G51" t="inlineStr">
        <is>
          <t>https://leetcode.com/problems/simplify-path/</t>
        </is>
      </c>
      <c r="H51" t="inlineStr">
        <is>
          <t>Similar</t>
        </is>
      </c>
      <c r="I51" t="inlineStr">
        <is>
          <t>Yes</t>
        </is>
      </c>
      <c r="J51" t="inlineStr">
        <is>
          <t>Low</t>
        </is>
      </c>
    </row>
    <row r="52" ht="15.75" customHeight="1">
      <c r="A52" t="n">
        <v>51</v>
      </c>
      <c r="B52" t="inlineStr">
        <is>
          <t>Queue</t>
        </is>
      </c>
      <c r="C52" t="inlineStr">
        <is>
          <t>Design</t>
        </is>
      </c>
      <c r="D52" t="inlineStr">
        <is>
          <t>Implement Queue using Stacks</t>
        </is>
      </c>
      <c r="E52" t="inlineStr">
        <is>
          <t>Easy</t>
        </is>
      </c>
      <c r="F52" t="inlineStr">
        <is>
          <t>LeetCode</t>
        </is>
      </c>
      <c r="G52" t="inlineStr">
        <is>
          <t>https://leetcode.com/problems/implement-queue-using-stacks/</t>
        </is>
      </c>
      <c r="H52" t="inlineStr">
        <is>
          <t>Similar</t>
        </is>
      </c>
      <c r="I52" t="inlineStr">
        <is>
          <t>Yes</t>
        </is>
      </c>
      <c r="J52" t="inlineStr">
        <is>
          <t>Medium</t>
        </is>
      </c>
    </row>
    <row r="53" ht="15.75" customHeight="1">
      <c r="A53" t="n">
        <v>52</v>
      </c>
      <c r="B53" t="inlineStr">
        <is>
          <t>Number Theory</t>
        </is>
      </c>
      <c r="C53" t="inlineStr">
        <is>
          <t>Prime Factorization</t>
        </is>
      </c>
      <c r="D53" t="inlineStr">
        <is>
          <t>Prime Factors of a Number</t>
        </is>
      </c>
      <c r="E53" t="inlineStr">
        <is>
          <t>Easy-Medium</t>
        </is>
      </c>
      <c r="F53" t="inlineStr">
        <is>
          <t>GeeksforGeeks</t>
        </is>
      </c>
      <c r="G53" t="inlineStr">
        <is>
          <t>https://www.geeksforgeeks.org/prime-factor/</t>
        </is>
      </c>
      <c r="H53" t="inlineStr">
        <is>
          <t>Community Report</t>
        </is>
      </c>
      <c r="I53" t="inlineStr">
        <is>
          <t>Yes</t>
        </is>
      </c>
      <c r="J53" t="inlineStr">
        <is>
          <t>High</t>
        </is>
      </c>
    </row>
    <row r="54" ht="15.75" customHeight="1">
      <c r="A54" t="n">
        <v>53</v>
      </c>
      <c r="B54" t="inlineStr">
        <is>
          <t>Queue</t>
        </is>
      </c>
      <c r="C54" t="inlineStr">
        <is>
          <t>Sliding Window</t>
        </is>
      </c>
      <c r="D54" t="inlineStr">
        <is>
          <t>Sliding Window Maximum</t>
        </is>
      </c>
      <c r="E54" t="inlineStr">
        <is>
          <t>Medium</t>
        </is>
      </c>
      <c r="F54" t="inlineStr">
        <is>
          <t>LeetCode</t>
        </is>
      </c>
      <c r="G54" t="inlineStr">
        <is>
          <t>https://leetcode.com/problems/sliding-window-maximum/</t>
        </is>
      </c>
      <c r="H54" t="inlineStr">
        <is>
          <t>Similar</t>
        </is>
      </c>
      <c r="I54" t="inlineStr">
        <is>
          <t>Yes</t>
        </is>
      </c>
      <c r="J54" t="inlineStr">
        <is>
          <t>Medium</t>
        </is>
      </c>
    </row>
    <row r="55" ht="15.75" customHeight="1">
      <c r="A55" t="n">
        <v>54</v>
      </c>
      <c r="B55" t="inlineStr">
        <is>
          <t>Linked List</t>
        </is>
      </c>
      <c r="C55" t="inlineStr">
        <is>
          <t>Reversal</t>
        </is>
      </c>
      <c r="D55" t="inlineStr">
        <is>
          <t>Reverse Linked List</t>
        </is>
      </c>
      <c r="E55" t="inlineStr">
        <is>
          <t>Easy</t>
        </is>
      </c>
      <c r="F55" t="inlineStr">
        <is>
          <t>LeetCode</t>
        </is>
      </c>
      <c r="G55" t="inlineStr">
        <is>
          <t>https://leetcode.com/problems/reverse-linked-list/</t>
        </is>
      </c>
      <c r="H55" t="inlineStr">
        <is>
          <t>Community Report</t>
        </is>
      </c>
      <c r="I55" t="inlineStr">
        <is>
          <t>Yes</t>
        </is>
      </c>
      <c r="J55" t="inlineStr">
        <is>
          <t>High</t>
        </is>
      </c>
    </row>
    <row r="56" ht="15.75" customHeight="1">
      <c r="A56" t="n">
        <v>55</v>
      </c>
      <c r="B56" t="inlineStr">
        <is>
          <t>Linked List</t>
        </is>
      </c>
      <c r="C56" t="inlineStr">
        <is>
          <t>Two Pointer</t>
        </is>
      </c>
      <c r="D56" t="inlineStr">
        <is>
          <t>Middle of the Linked List</t>
        </is>
      </c>
      <c r="E56" t="inlineStr">
        <is>
          <t>Easy</t>
        </is>
      </c>
      <c r="F56" t="inlineStr">
        <is>
          <t>LeetCode</t>
        </is>
      </c>
      <c r="G56" t="inlineStr">
        <is>
          <t>https://leetcode.com/problems/middle-of-the-linked-list/</t>
        </is>
      </c>
      <c r="H56" t="inlineStr">
        <is>
          <t>Community Report</t>
        </is>
      </c>
      <c r="I56" t="inlineStr">
        <is>
          <t>Yes</t>
        </is>
      </c>
      <c r="J56" t="inlineStr">
        <is>
          <t>High</t>
        </is>
      </c>
    </row>
    <row r="57" ht="15.75" customHeight="1">
      <c r="A57" t="n">
        <v>56</v>
      </c>
      <c r="B57" t="inlineStr">
        <is>
          <t>Linked List</t>
        </is>
      </c>
      <c r="C57" t="inlineStr">
        <is>
          <t>Cycle Detection</t>
        </is>
      </c>
      <c r="D57" t="inlineStr">
        <is>
          <t>Linked List Cycle</t>
        </is>
      </c>
      <c r="E57" t="inlineStr">
        <is>
          <t>Easy</t>
        </is>
      </c>
      <c r="F57" t="inlineStr">
        <is>
          <t>LeetCode</t>
        </is>
      </c>
      <c r="G57" t="inlineStr">
        <is>
          <t>https://leetcode.com/problems/linked-list-cycle/</t>
        </is>
      </c>
      <c r="H57" t="inlineStr">
        <is>
          <t>Community Report</t>
        </is>
      </c>
      <c r="I57" t="inlineStr">
        <is>
          <t>Yes</t>
        </is>
      </c>
      <c r="J57" t="inlineStr">
        <is>
          <t>High</t>
        </is>
      </c>
    </row>
    <row r="58" ht="15.75" customHeight="1">
      <c r="A58" t="n">
        <v>57</v>
      </c>
      <c r="B58" t="inlineStr">
        <is>
          <t>Linked List</t>
        </is>
      </c>
      <c r="C58" t="inlineStr">
        <is>
          <t>Merge</t>
        </is>
      </c>
      <c r="D58" t="inlineStr">
        <is>
          <t>Merge Two Sorted Lists</t>
        </is>
      </c>
      <c r="E58" t="inlineStr">
        <is>
          <t>Easy</t>
        </is>
      </c>
      <c r="F58" t="inlineStr">
        <is>
          <t>LeetCode</t>
        </is>
      </c>
      <c r="G58" t="inlineStr">
        <is>
          <t>https://leetcode.com/problems/merge-two-sorted-lists/</t>
        </is>
      </c>
      <c r="H58" t="inlineStr">
        <is>
          <t>Community Report</t>
        </is>
      </c>
      <c r="I58" t="inlineStr">
        <is>
          <t>Yes</t>
        </is>
      </c>
      <c r="J58" t="inlineStr">
        <is>
          <t>High</t>
        </is>
      </c>
    </row>
    <row r="59" ht="15.75" customHeight="1">
      <c r="A59" t="n">
        <v>58</v>
      </c>
      <c r="B59" t="inlineStr">
        <is>
          <t>Linked List</t>
        </is>
      </c>
      <c r="C59" t="inlineStr">
        <is>
          <t>Removal</t>
        </is>
      </c>
      <c r="D59" t="inlineStr">
        <is>
          <t>Remove Nth Node From End of List</t>
        </is>
      </c>
      <c r="E59" t="inlineStr">
        <is>
          <t>Medium</t>
        </is>
      </c>
      <c r="F59" t="inlineStr">
        <is>
          <t>LeetCode</t>
        </is>
      </c>
      <c r="G59" t="inlineStr">
        <is>
          <t>https://leetcode.com/problems/remove-nth-node-from-end-of-list/</t>
        </is>
      </c>
      <c r="H59" t="inlineStr">
        <is>
          <t>Similar</t>
        </is>
      </c>
      <c r="I59" t="inlineStr">
        <is>
          <t>Yes</t>
        </is>
      </c>
      <c r="J59" t="inlineStr">
        <is>
          <t>Medium</t>
        </is>
      </c>
    </row>
    <row r="60" ht="15.75" customHeight="1">
      <c r="A60" t="n">
        <v>59</v>
      </c>
      <c r="B60" t="inlineStr">
        <is>
          <t>Linked List</t>
        </is>
      </c>
      <c r="C60" t="inlineStr">
        <is>
          <t>Palindrome Check</t>
        </is>
      </c>
      <c r="D60" t="inlineStr">
        <is>
          <t>Palindrome Linked List</t>
        </is>
      </c>
      <c r="E60" t="inlineStr">
        <is>
          <t>Easy</t>
        </is>
      </c>
      <c r="F60" t="inlineStr">
        <is>
          <t>LeetCode</t>
        </is>
      </c>
      <c r="G60" t="inlineStr">
        <is>
          <t>https://leetcode.com/problems/palindrome-linked-list/</t>
        </is>
      </c>
      <c r="H60" t="inlineStr">
        <is>
          <t>Similar</t>
        </is>
      </c>
      <c r="I60" t="inlineStr">
        <is>
          <t>Yes</t>
        </is>
      </c>
      <c r="J60" t="inlineStr">
        <is>
          <t>Medium</t>
        </is>
      </c>
    </row>
    <row r="61" ht="15.75" customHeight="1">
      <c r="A61" t="n">
        <v>60</v>
      </c>
      <c r="B61" t="inlineStr">
        <is>
          <t>Linked List</t>
        </is>
      </c>
      <c r="C61" t="inlineStr">
        <is>
          <t>Intersection</t>
        </is>
      </c>
      <c r="D61" t="inlineStr">
        <is>
          <t>Intersection of Two Linked Lists</t>
        </is>
      </c>
      <c r="E61" t="inlineStr">
        <is>
          <t>Easy</t>
        </is>
      </c>
      <c r="F61" t="inlineStr">
        <is>
          <t>LeetCode</t>
        </is>
      </c>
      <c r="G61" t="inlineStr">
        <is>
          <t>https://leetcode.com/problems/intersection-of-two-linked-lists/</t>
        </is>
      </c>
      <c r="H61" t="inlineStr">
        <is>
          <t>Similar</t>
        </is>
      </c>
      <c r="I61" t="inlineStr">
        <is>
          <t>Yes</t>
        </is>
      </c>
      <c r="J61" t="inlineStr">
        <is>
          <t>Medium</t>
        </is>
      </c>
    </row>
    <row r="62" ht="15.75" customHeight="1">
      <c r="A62" t="n">
        <v>61</v>
      </c>
      <c r="B62" t="inlineStr">
        <is>
          <t>Trees</t>
        </is>
      </c>
      <c r="C62" t="inlineStr">
        <is>
          <t>Traversal</t>
        </is>
      </c>
      <c r="D62" t="inlineStr">
        <is>
          <t>Maximum Depth of Binary Tree</t>
        </is>
      </c>
      <c r="E62" t="inlineStr">
        <is>
          <t>Easy</t>
        </is>
      </c>
      <c r="F62" t="inlineStr">
        <is>
          <t>LeetCode</t>
        </is>
      </c>
      <c r="G62" t="inlineStr">
        <is>
          <t>https://leetcode.com/problems/maximum-depth-of-binary-tree/</t>
        </is>
      </c>
      <c r="H62" t="inlineStr">
        <is>
          <t>Community Report</t>
        </is>
      </c>
      <c r="I62" t="inlineStr">
        <is>
          <t>Yes</t>
        </is>
      </c>
      <c r="J62" t="inlineStr">
        <is>
          <t>High</t>
        </is>
      </c>
    </row>
    <row r="63" ht="15.75" customHeight="1">
      <c r="A63" t="n">
        <v>62</v>
      </c>
      <c r="B63" t="inlineStr">
        <is>
          <t>Trees</t>
        </is>
      </c>
      <c r="C63" t="inlineStr">
        <is>
          <t>BFS</t>
        </is>
      </c>
      <c r="D63" t="inlineStr">
        <is>
          <t>Binary Tree Level Order Traversal</t>
        </is>
      </c>
      <c r="E63" t="inlineStr">
        <is>
          <t>Medium</t>
        </is>
      </c>
      <c r="F63" t="inlineStr">
        <is>
          <t>LeetCode</t>
        </is>
      </c>
      <c r="G63" t="inlineStr">
        <is>
          <t>https://leetcode.com/problems/binary-tree-level-order-traversal/</t>
        </is>
      </c>
      <c r="H63" t="inlineStr">
        <is>
          <t>Community Report</t>
        </is>
      </c>
      <c r="I63" t="inlineStr">
        <is>
          <t>Yes</t>
        </is>
      </c>
      <c r="J63" t="inlineStr">
        <is>
          <t>High</t>
        </is>
      </c>
    </row>
    <row r="64" ht="15.75" customHeight="1">
      <c r="A64" t="n">
        <v>63</v>
      </c>
      <c r="B64" t="inlineStr">
        <is>
          <t>Trees</t>
        </is>
      </c>
      <c r="C64" t="inlineStr">
        <is>
          <t>Diameter</t>
        </is>
      </c>
      <c r="D64" t="inlineStr">
        <is>
          <t>Diameter of Binary Tree</t>
        </is>
      </c>
      <c r="E64" t="inlineStr">
        <is>
          <t>Easy-Medium</t>
        </is>
      </c>
      <c r="F64" t="inlineStr">
        <is>
          <t>LeetCode</t>
        </is>
      </c>
      <c r="G64" t="inlineStr">
        <is>
          <t>https://leetcode.com/problems/diameter-of-binary-tree/</t>
        </is>
      </c>
      <c r="H64" t="inlineStr">
        <is>
          <t>Similar</t>
        </is>
      </c>
      <c r="I64" t="inlineStr">
        <is>
          <t>Yes</t>
        </is>
      </c>
      <c r="J64" t="inlineStr">
        <is>
          <t>Medium</t>
        </is>
      </c>
    </row>
    <row r="65" ht="15.75" customHeight="1">
      <c r="A65" t="n">
        <v>64</v>
      </c>
      <c r="B65" t="inlineStr">
        <is>
          <t>Trees</t>
        </is>
      </c>
      <c r="C65" t="inlineStr">
        <is>
          <t>Recursion</t>
        </is>
      </c>
      <c r="D65" t="inlineStr">
        <is>
          <t>Invert Binary Tree</t>
        </is>
      </c>
      <c r="E65" t="inlineStr">
        <is>
          <t>Easy</t>
        </is>
      </c>
      <c r="F65" t="inlineStr">
        <is>
          <t>LeetCode</t>
        </is>
      </c>
      <c r="G65" t="inlineStr">
        <is>
          <t>https://leetcode.com/problems/invert-binary-tree/</t>
        </is>
      </c>
      <c r="H65" t="inlineStr">
        <is>
          <t>Similar</t>
        </is>
      </c>
      <c r="I65" t="inlineStr">
        <is>
          <t>Yes</t>
        </is>
      </c>
      <c r="J65" t="inlineStr">
        <is>
          <t>Medium</t>
        </is>
      </c>
    </row>
    <row r="66" ht="15.75" customHeight="1">
      <c r="A66" t="n">
        <v>65</v>
      </c>
      <c r="B66" t="inlineStr">
        <is>
          <t>Trees</t>
        </is>
      </c>
      <c r="C66" t="inlineStr">
        <is>
          <t>Symmetry Check</t>
        </is>
      </c>
      <c r="D66" t="inlineStr">
        <is>
          <t>Symmetric Tree</t>
        </is>
      </c>
      <c r="E66" t="inlineStr">
        <is>
          <t>Easy</t>
        </is>
      </c>
      <c r="F66" t="inlineStr">
        <is>
          <t>LeetCode</t>
        </is>
      </c>
      <c r="G66" t="inlineStr">
        <is>
          <t>https://leetcode.com/problems/symmetric-tree/</t>
        </is>
      </c>
      <c r="H66" t="inlineStr">
        <is>
          <t>Similar</t>
        </is>
      </c>
      <c r="I66" t="inlineStr">
        <is>
          <t>Yes</t>
        </is>
      </c>
      <c r="J66" t="inlineStr">
        <is>
          <t>Medium</t>
        </is>
      </c>
    </row>
    <row r="67" ht="15.75" customHeight="1">
      <c r="A67" t="n">
        <v>66</v>
      </c>
      <c r="B67" t="inlineStr">
        <is>
          <t>Trees</t>
        </is>
      </c>
      <c r="C67" t="inlineStr">
        <is>
          <t>Path Sum</t>
        </is>
      </c>
      <c r="D67" t="inlineStr">
        <is>
          <t>Path Sum</t>
        </is>
      </c>
      <c r="E67" t="inlineStr">
        <is>
          <t>Easy</t>
        </is>
      </c>
      <c r="F67" t="inlineStr">
        <is>
          <t>LeetCode</t>
        </is>
      </c>
      <c r="G67" t="inlineStr">
        <is>
          <t>https://leetcode.com/problems/path-sum/</t>
        </is>
      </c>
      <c r="H67" t="inlineStr">
        <is>
          <t>Similar</t>
        </is>
      </c>
      <c r="I67" t="inlineStr">
        <is>
          <t>Yes</t>
        </is>
      </c>
      <c r="J67" t="inlineStr">
        <is>
          <t>Medium</t>
        </is>
      </c>
    </row>
    <row r="68" ht="15.75" customHeight="1">
      <c r="A68" t="n">
        <v>67</v>
      </c>
      <c r="B68" t="inlineStr">
        <is>
          <t>Binary Search Trees</t>
        </is>
      </c>
      <c r="C68" t="inlineStr">
        <is>
          <t>Validation</t>
        </is>
      </c>
      <c r="D68" t="inlineStr">
        <is>
          <t>Validate Binary Search Tree</t>
        </is>
      </c>
      <c r="E68" t="inlineStr">
        <is>
          <t>Medium</t>
        </is>
      </c>
      <c r="F68" t="inlineStr">
        <is>
          <t>LeetCode</t>
        </is>
      </c>
      <c r="G68" t="inlineStr">
        <is>
          <t>https://leetcode.com/problems/validate-binary-search-tree/</t>
        </is>
      </c>
      <c r="H68" t="inlineStr">
        <is>
          <t>Similar</t>
        </is>
      </c>
      <c r="I68" t="inlineStr">
        <is>
          <t>Yes</t>
        </is>
      </c>
      <c r="J68" t="inlineStr">
        <is>
          <t>Medium</t>
        </is>
      </c>
    </row>
    <row r="69" ht="15.75" customHeight="1">
      <c r="A69" t="n">
        <v>68</v>
      </c>
      <c r="B69" t="inlineStr">
        <is>
          <t>Binary Search Trees</t>
        </is>
      </c>
      <c r="C69" t="inlineStr">
        <is>
          <t>Lowest Common Ancestor</t>
        </is>
      </c>
      <c r="D69" t="inlineStr">
        <is>
          <t>Lowest Common Ancestor of a Binary Search Tree</t>
        </is>
      </c>
      <c r="E69" t="inlineStr">
        <is>
          <t>Easy-Medium</t>
        </is>
      </c>
      <c r="F69" t="inlineStr">
        <is>
          <t>LeetCode</t>
        </is>
      </c>
      <c r="G69" t="inlineStr">
        <is>
          <t>https://leetcode.com/problems/lowest-common-ancestor-of-a-binary-search-tree/</t>
        </is>
      </c>
      <c r="H69" t="inlineStr">
        <is>
          <t>Similar</t>
        </is>
      </c>
      <c r="I69" t="inlineStr">
        <is>
          <t>Yes</t>
        </is>
      </c>
      <c r="J69" t="inlineStr">
        <is>
          <t>Medium</t>
        </is>
      </c>
    </row>
    <row r="70" ht="15.75" customHeight="1">
      <c r="A70" t="n">
        <v>69</v>
      </c>
      <c r="B70" t="inlineStr">
        <is>
          <t>Pattern-based Logic</t>
        </is>
      </c>
      <c r="C70" t="inlineStr">
        <is>
          <t>Pattern Printing</t>
        </is>
      </c>
      <c r="D70" t="inlineStr">
        <is>
          <t>Star / Number Pattern Printing</t>
        </is>
      </c>
      <c r="E70" t="inlineStr">
        <is>
          <t>Easy</t>
        </is>
      </c>
      <c r="F70" t="inlineStr">
        <is>
          <t>GeeksforGeeks</t>
        </is>
      </c>
      <c r="G70" t="inlineStr">
        <is>
          <t>https://www.geeksforgeeks.org/printing-patterns-using-loops/</t>
        </is>
      </c>
      <c r="H70" t="inlineStr">
        <is>
          <t>Community Report</t>
        </is>
      </c>
      <c r="I70" t="inlineStr">
        <is>
          <t>Yes</t>
        </is>
      </c>
      <c r="J70" t="inlineStr">
        <is>
          <t>High</t>
        </is>
      </c>
    </row>
    <row r="71" ht="15.75" customHeight="1">
      <c r="A71" t="n">
        <v>70</v>
      </c>
      <c r="B71" t="inlineStr">
        <is>
          <t>Heap / Priority Queue</t>
        </is>
      </c>
      <c r="C71" t="inlineStr">
        <is>
          <t>Kth Largest</t>
        </is>
      </c>
      <c r="D71" t="inlineStr">
        <is>
          <t>Kth Largest Element in a Stream</t>
        </is>
      </c>
      <c r="E71" t="inlineStr">
        <is>
          <t>Easy</t>
        </is>
      </c>
      <c r="F71" t="inlineStr">
        <is>
          <t>LeetCode</t>
        </is>
      </c>
      <c r="G71" t="inlineStr">
        <is>
          <t>https://leetcode.com/problems/kth-largest-element-in-a-stream/</t>
        </is>
      </c>
      <c r="H71" t="inlineStr">
        <is>
          <t>Similar</t>
        </is>
      </c>
      <c r="I71" t="inlineStr">
        <is>
          <t>Yes</t>
        </is>
      </c>
      <c r="J71" t="inlineStr">
        <is>
          <t>Medium</t>
        </is>
      </c>
    </row>
    <row r="72" ht="15.75" customHeight="1">
      <c r="A72" t="n">
        <v>71</v>
      </c>
      <c r="B72" t="inlineStr">
        <is>
          <t>Heap / Priority Queue</t>
        </is>
      </c>
      <c r="C72" t="inlineStr">
        <is>
          <t>Merge</t>
        </is>
      </c>
      <c r="D72" t="inlineStr">
        <is>
          <t>Merge k Sorted Lists</t>
        </is>
      </c>
      <c r="E72" t="inlineStr">
        <is>
          <t>Medium</t>
        </is>
      </c>
      <c r="F72" t="inlineStr">
        <is>
          <t>LeetCode</t>
        </is>
      </c>
      <c r="G72" t="inlineStr">
        <is>
          <t>https://leetcode.com/problems/merge-k-sorted-lists/</t>
        </is>
      </c>
      <c r="H72" t="inlineStr">
        <is>
          <t>Similar</t>
        </is>
      </c>
      <c r="I72" t="inlineStr">
        <is>
          <t>Yes</t>
        </is>
      </c>
      <c r="J72" t="inlineStr">
        <is>
          <t>Low</t>
        </is>
      </c>
    </row>
    <row r="73" ht="15.75" customHeight="1">
      <c r="A73" t="n">
        <v>72</v>
      </c>
      <c r="B73" t="inlineStr">
        <is>
          <t>Heap / Priority Queue</t>
        </is>
      </c>
      <c r="C73" t="inlineStr">
        <is>
          <t>Top K</t>
        </is>
      </c>
      <c r="D73" t="inlineStr">
        <is>
          <t>Top K Frequent Words</t>
        </is>
      </c>
      <c r="E73" t="inlineStr">
        <is>
          <t>Medium</t>
        </is>
      </c>
      <c r="F73" t="inlineStr">
        <is>
          <t>LeetCode</t>
        </is>
      </c>
      <c r="G73" t="inlineStr">
        <is>
          <t>https://leetcode.com/problems/top-k-frequent-words/</t>
        </is>
      </c>
      <c r="H73" t="inlineStr">
        <is>
          <t>Similar</t>
        </is>
      </c>
      <c r="I73" t="inlineStr">
        <is>
          <t>Yes</t>
        </is>
      </c>
      <c r="J73" t="inlineStr">
        <is>
          <t>Medium</t>
        </is>
      </c>
    </row>
    <row r="74" ht="15.75" customHeight="1">
      <c r="A74" t="n">
        <v>73</v>
      </c>
      <c r="B74" t="inlineStr">
        <is>
          <t>Greedy Algorithms</t>
        </is>
      </c>
      <c r="C74" t="inlineStr">
        <is>
          <t>Jump Game</t>
        </is>
      </c>
      <c r="D74" t="inlineStr">
        <is>
          <t>Jump Game</t>
        </is>
      </c>
      <c r="E74" t="inlineStr">
        <is>
          <t>Medium</t>
        </is>
      </c>
      <c r="F74" t="inlineStr">
        <is>
          <t>LeetCode</t>
        </is>
      </c>
      <c r="G74" t="inlineStr">
        <is>
          <t>https://leetcode.com/problems/jump-game/</t>
        </is>
      </c>
      <c r="H74" t="inlineStr">
        <is>
          <t>Similar</t>
        </is>
      </c>
      <c r="I74" t="inlineStr">
        <is>
          <t>Yes</t>
        </is>
      </c>
      <c r="J74" t="inlineStr">
        <is>
          <t>Medium</t>
        </is>
      </c>
    </row>
    <row r="75" ht="15.75" customHeight="1">
      <c r="A75" t="n">
        <v>74</v>
      </c>
      <c r="B75" t="inlineStr">
        <is>
          <t>Greedy Algorithms</t>
        </is>
      </c>
      <c r="C75" t="inlineStr">
        <is>
          <t>Interval Scheduling</t>
        </is>
      </c>
      <c r="D75" t="inlineStr">
        <is>
          <t>Non-overlapping Intervals</t>
        </is>
      </c>
      <c r="E75" t="inlineStr">
        <is>
          <t>Medium</t>
        </is>
      </c>
      <c r="F75" t="inlineStr">
        <is>
          <t>LeetCode</t>
        </is>
      </c>
      <c r="G75" t="inlineStr">
        <is>
          <t>https://leetcode.com/problems/non-overlapping-intervals/</t>
        </is>
      </c>
      <c r="H75" t="inlineStr">
        <is>
          <t>Similar</t>
        </is>
      </c>
      <c r="I75" t="inlineStr">
        <is>
          <t>Yes</t>
        </is>
      </c>
      <c r="J75" t="inlineStr">
        <is>
          <t>Medium</t>
        </is>
      </c>
    </row>
    <row r="76" ht="15.75" customHeight="1">
      <c r="A76" t="n">
        <v>75</v>
      </c>
      <c r="B76" t="inlineStr">
        <is>
          <t>Simulation</t>
        </is>
      </c>
      <c r="C76" t="inlineStr">
        <is>
          <t>Grid Simulation</t>
        </is>
      </c>
      <c r="D76" t="inlineStr">
        <is>
          <t>Robot Return to Origin</t>
        </is>
      </c>
      <c r="E76" t="inlineStr">
        <is>
          <t>Easy</t>
        </is>
      </c>
      <c r="F76" t="inlineStr">
        <is>
          <t>LeetCode</t>
        </is>
      </c>
      <c r="G76" t="inlineStr">
        <is>
          <t>https://leetcode.com/problems/robot-return-to-origin/</t>
        </is>
      </c>
      <c r="H76" t="inlineStr">
        <is>
          <t>Similar</t>
        </is>
      </c>
      <c r="I76" t="inlineStr">
        <is>
          <t>Yes</t>
        </is>
      </c>
      <c r="J76" t="inlineStr">
        <is>
          <t>Medium</t>
        </is>
      </c>
    </row>
    <row r="77" ht="15.75" customHeight="1">
      <c r="A77" t="n">
        <v>76</v>
      </c>
      <c r="B77" t="inlineStr">
        <is>
          <t>Dynamic Programming</t>
        </is>
      </c>
      <c r="C77" t="inlineStr">
        <is>
          <t>1D DP</t>
        </is>
      </c>
      <c r="D77" t="inlineStr">
        <is>
          <t>Climbing Stairs</t>
        </is>
      </c>
      <c r="E77" t="inlineStr">
        <is>
          <t>Easy</t>
        </is>
      </c>
      <c r="F77" t="inlineStr">
        <is>
          <t>LeetCode</t>
        </is>
      </c>
      <c r="G77" t="inlineStr">
        <is>
          <t>https://leetcode.com/problems/climbing-stairs/</t>
        </is>
      </c>
      <c r="H77" t="inlineStr">
        <is>
          <t>Community Report</t>
        </is>
      </c>
      <c r="I77" t="inlineStr">
        <is>
          <t>Yes</t>
        </is>
      </c>
      <c r="J77" t="inlineStr">
        <is>
          <t>High</t>
        </is>
      </c>
    </row>
    <row r="78" ht="15.75" customHeight="1">
      <c r="A78" t="n">
        <v>77</v>
      </c>
      <c r="B78" t="inlineStr">
        <is>
          <t>Dynamic Programming</t>
        </is>
      </c>
      <c r="C78" t="inlineStr">
        <is>
          <t>1D DP</t>
        </is>
      </c>
      <c r="D78" t="inlineStr">
        <is>
          <t>House Robber</t>
        </is>
      </c>
      <c r="E78" t="inlineStr">
        <is>
          <t>Medium</t>
        </is>
      </c>
      <c r="F78" t="inlineStr">
        <is>
          <t>LeetCode</t>
        </is>
      </c>
      <c r="G78" t="inlineStr">
        <is>
          <t>https://leetcode.com/problems/house-robber/</t>
        </is>
      </c>
      <c r="H78" t="inlineStr">
        <is>
          <t>Community Report</t>
        </is>
      </c>
      <c r="I78" t="inlineStr">
        <is>
          <t>Yes</t>
        </is>
      </c>
      <c r="J78" t="inlineStr">
        <is>
          <t>High</t>
        </is>
      </c>
    </row>
    <row r="79" ht="15.75" customHeight="1">
      <c r="A79" t="n">
        <v>78</v>
      </c>
      <c r="B79" t="inlineStr">
        <is>
          <t>Dynamic Programming</t>
        </is>
      </c>
      <c r="C79" t="inlineStr">
        <is>
          <t>Coin Change</t>
        </is>
      </c>
      <c r="D79" t="inlineStr">
        <is>
          <t>Coin Change</t>
        </is>
      </c>
      <c r="E79" t="inlineStr">
        <is>
          <t>Medium</t>
        </is>
      </c>
      <c r="F79" t="inlineStr">
        <is>
          <t>LeetCode</t>
        </is>
      </c>
      <c r="G79" t="inlineStr">
        <is>
          <t>https://leetcode.com/problems/coin-change/</t>
        </is>
      </c>
      <c r="H79" t="inlineStr">
        <is>
          <t>Similar</t>
        </is>
      </c>
      <c r="I79" t="inlineStr">
        <is>
          <t>Yes</t>
        </is>
      </c>
      <c r="J79" t="inlineStr">
        <is>
          <t>Medium</t>
        </is>
      </c>
    </row>
    <row r="80" ht="15.75" customHeight="1">
      <c r="A80" t="n">
        <v>79</v>
      </c>
      <c r="B80" t="inlineStr">
        <is>
          <t>Dynamic Programming</t>
        </is>
      </c>
      <c r="C80" t="inlineStr">
        <is>
          <t>Subsequence</t>
        </is>
      </c>
      <c r="D80" t="inlineStr">
        <is>
          <t>Longest Increasing Subsequence</t>
        </is>
      </c>
      <c r="E80" t="inlineStr">
        <is>
          <t>Medium</t>
        </is>
      </c>
      <c r="F80" t="inlineStr">
        <is>
          <t>LeetCode</t>
        </is>
      </c>
      <c r="G80" t="inlineStr">
        <is>
          <t>https://leetcode.com/problems/longest-increasing-subsequence/</t>
        </is>
      </c>
      <c r="H80" t="inlineStr">
        <is>
          <t>Similar</t>
        </is>
      </c>
      <c r="I80" t="inlineStr">
        <is>
          <t>Yes</t>
        </is>
      </c>
      <c r="J80" t="inlineStr">
        <is>
          <t>Medium</t>
        </is>
      </c>
    </row>
    <row r="81" ht="15.75" customHeight="1">
      <c r="A81" t="n">
        <v>80</v>
      </c>
      <c r="B81" t="inlineStr">
        <is>
          <t>Graph Basics</t>
        </is>
      </c>
      <c r="C81" t="inlineStr">
        <is>
          <t>Flood Fill</t>
        </is>
      </c>
      <c r="D81" t="inlineStr">
        <is>
          <t>Flood Fill</t>
        </is>
      </c>
      <c r="E81" t="inlineStr">
        <is>
          <t>Easy</t>
        </is>
      </c>
      <c r="F81" t="inlineStr">
        <is>
          <t>LeetCode</t>
        </is>
      </c>
      <c r="G81" t="inlineStr">
        <is>
          <t>https://leetcode.com/problems/flood-fill/</t>
        </is>
      </c>
      <c r="H81" t="inlineStr">
        <is>
          <t>Community Report</t>
        </is>
      </c>
      <c r="I81" t="inlineStr">
        <is>
          <t>Yes</t>
        </is>
      </c>
      <c r="J81" t="inlineStr">
        <is>
          <t>High</t>
        </is>
      </c>
    </row>
    <row r="82" ht="15.75" customHeight="1">
      <c r="A82" t="n">
        <v>81</v>
      </c>
      <c r="B82" t="inlineStr">
        <is>
          <t>Graph Basics</t>
        </is>
      </c>
      <c r="C82" t="inlineStr">
        <is>
          <t>Islands / DFS</t>
        </is>
      </c>
      <c r="D82" t="inlineStr">
        <is>
          <t>Number of Islands</t>
        </is>
      </c>
      <c r="E82" t="inlineStr">
        <is>
          <t>Medium</t>
        </is>
      </c>
      <c r="F82" t="inlineStr">
        <is>
          <t>LeetCode</t>
        </is>
      </c>
      <c r="G82" t="inlineStr">
        <is>
          <t>https://leetcode.com/problems/number-of-islands/</t>
        </is>
      </c>
      <c r="H82" t="inlineStr">
        <is>
          <t>Community Report</t>
        </is>
      </c>
      <c r="I82" t="inlineStr">
        <is>
          <t>Yes</t>
        </is>
      </c>
      <c r="J82" t="inlineStr">
        <is>
          <t>High</t>
        </is>
      </c>
    </row>
    <row r="83" ht="15.75" customHeight="1">
      <c r="A83" t="n">
        <v>82</v>
      </c>
      <c r="B83" t="inlineStr">
        <is>
          <t>Graph Basics</t>
        </is>
      </c>
      <c r="C83" t="inlineStr">
        <is>
          <t>BFS</t>
        </is>
      </c>
      <c r="D83" t="inlineStr">
        <is>
          <t>Rotting Oranges</t>
        </is>
      </c>
      <c r="E83" t="inlineStr">
        <is>
          <t>Medium</t>
        </is>
      </c>
      <c r="F83" t="inlineStr">
        <is>
          <t>LeetCode</t>
        </is>
      </c>
      <c r="G83" t="inlineStr">
        <is>
          <t>https://leetcode.com/problems/rotting-oranges/</t>
        </is>
      </c>
      <c r="H83" t="inlineStr">
        <is>
          <t>Similar</t>
        </is>
      </c>
      <c r="I83" t="inlineStr">
        <is>
          <t>Yes</t>
        </is>
      </c>
      <c r="J83" t="inlineStr">
        <is>
          <t>Medium</t>
        </is>
      </c>
    </row>
    <row r="84" ht="15.75" customHeight="1">
      <c r="A84" t="n">
        <v>83</v>
      </c>
      <c r="B84" t="inlineStr">
        <is>
          <t>Graph Basics</t>
        </is>
      </c>
      <c r="C84" t="inlineStr">
        <is>
          <t>DFS</t>
        </is>
      </c>
      <c r="D84" t="inlineStr">
        <is>
          <t>Clone Graph</t>
        </is>
      </c>
      <c r="E84" t="inlineStr">
        <is>
          <t>Medium</t>
        </is>
      </c>
      <c r="F84" t="inlineStr">
        <is>
          <t>LeetCode</t>
        </is>
      </c>
      <c r="G84" t="inlineStr">
        <is>
          <t>https://leetcode.com/problems/clone-graph/</t>
        </is>
      </c>
      <c r="H84" t="inlineStr">
        <is>
          <t>Similar</t>
        </is>
      </c>
      <c r="I84" t="inlineStr">
        <is>
          <t>Yes</t>
        </is>
      </c>
      <c r="J84" t="inlineStr">
        <is>
          <t>Low</t>
        </is>
      </c>
    </row>
    <row r="85" ht="15.75" customHeight="1">
      <c r="A85" t="n">
        <v>84</v>
      </c>
      <c r="B85" t="inlineStr">
        <is>
          <t>Mathematics</t>
        </is>
      </c>
      <c r="C85" t="inlineStr">
        <is>
          <t>Number Reversal</t>
        </is>
      </c>
      <c r="D85" t="inlineStr">
        <is>
          <t>Palindrome Number</t>
        </is>
      </c>
      <c r="E85" t="inlineStr">
        <is>
          <t>Easy</t>
        </is>
      </c>
      <c r="F85" t="inlineStr">
        <is>
          <t>LeetCode</t>
        </is>
      </c>
      <c r="G85" t="inlineStr">
        <is>
          <t>https://leetcode.com/problems/palindrome-number/</t>
        </is>
      </c>
      <c r="H85" t="inlineStr">
        <is>
          <t>Community Report</t>
        </is>
      </c>
      <c r="I85" t="inlineStr">
        <is>
          <t>Yes</t>
        </is>
      </c>
      <c r="J85" t="inlineStr">
        <is>
          <t>High</t>
        </is>
      </c>
    </row>
    <row r="86" ht="15.75" customHeight="1">
      <c r="A86" t="n">
        <v>85</v>
      </c>
      <c r="B86" t="inlineStr">
        <is>
          <t>Bit Manipulation</t>
        </is>
      </c>
      <c r="C86" t="inlineStr">
        <is>
          <t>Bit Counting DP</t>
        </is>
      </c>
      <c r="D86" t="inlineStr">
        <is>
          <t>Counting Bits</t>
        </is>
      </c>
      <c r="E86" t="inlineStr">
        <is>
          <t>Easy</t>
        </is>
      </c>
      <c r="F86" t="inlineStr">
        <is>
          <t>LeetCode</t>
        </is>
      </c>
      <c r="G86" t="inlineStr">
        <is>
          <t>https://leetcode.com/problems/counting-bits/</t>
        </is>
      </c>
      <c r="H86" t="inlineStr">
        <is>
          <t>Similar</t>
        </is>
      </c>
      <c r="I86" t="inlineStr">
        <is>
          <t>Yes</t>
        </is>
      </c>
      <c r="J86" t="inlineStr">
        <is>
          <t>Low</t>
        </is>
      </c>
    </row>
    <row r="87" ht="15.75" customHeight="1">
      <c r="A87" t="n">
        <v>86</v>
      </c>
      <c r="B87" t="inlineStr">
        <is>
          <t>Number Theory</t>
        </is>
      </c>
      <c r="C87" t="inlineStr">
        <is>
          <t>Sieve of Eratosthenes</t>
        </is>
      </c>
      <c r="D87" t="inlineStr">
        <is>
          <t>Count Primes</t>
        </is>
      </c>
      <c r="E87" t="inlineStr">
        <is>
          <t>Medium</t>
        </is>
      </c>
      <c r="F87" t="inlineStr">
        <is>
          <t>LeetCode</t>
        </is>
      </c>
      <c r="G87" t="inlineStr">
        <is>
          <t>https://leetcode.com/problems/count-primes/</t>
        </is>
      </c>
      <c r="H87" t="inlineStr">
        <is>
          <t>Community Report</t>
        </is>
      </c>
      <c r="I87" t="inlineStr">
        <is>
          <t>Yes</t>
        </is>
      </c>
      <c r="J87" t="inlineStr">
        <is>
          <t>High</t>
        </is>
      </c>
    </row>
    <row r="88" ht="15.75" customHeight="1">
      <c r="A88" t="n">
        <v>87</v>
      </c>
      <c r="B88" t="inlineStr">
        <is>
          <t>Miscellaneous</t>
        </is>
      </c>
      <c r="C88" t="inlineStr">
        <is>
          <t>String Math</t>
        </is>
      </c>
      <c r="D88" t="inlineStr">
        <is>
          <t>Greatest Common Divisor of Strings</t>
        </is>
      </c>
      <c r="E88" t="inlineStr">
        <is>
          <t>Easy</t>
        </is>
      </c>
      <c r="F88" t="inlineStr">
        <is>
          <t>LeetCode</t>
        </is>
      </c>
      <c r="G88" t="inlineStr">
        <is>
          <t>https://leetcode.com/problems/greatest-common-divisor-of-strings/</t>
        </is>
      </c>
      <c r="H88" t="inlineStr">
        <is>
          <t>Similar</t>
        </is>
      </c>
      <c r="I88" t="inlineStr">
        <is>
          <t>Yes</t>
        </is>
      </c>
      <c r="J88" t="inlineStr">
        <is>
          <t>Medium</t>
        </is>
      </c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portrait" paperSize="9" pageOrder="downThenOver"/>
  <headerFooter>
    <oddHeader>&amp;L&amp;C&amp;R</oddHeader>
    <oddFooter>&amp;L&amp;C&amp;R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2"/>
  <sheetViews>
    <sheetView topLeftCell="A1" workbookViewId="0">
      <pane ySplit="3" topLeftCell="A4" activePane="bottomLeft" state="frozen"/>
      <selection pane="bottomLeft" activeCell="B5" sqref="B5"/>
    </sheetView>
  </sheetViews>
  <sheetFormatPr baseColWidth="8" defaultColWidth="14.421875" defaultRowHeight="15" customHeight="1"/>
  <cols>
    <col width="6.00390625" customWidth="1" min="1" max="1"/>
    <col width="26.00390625" customWidth="1" min="2" max="2"/>
    <col width="18.00390625" customWidth="1" min="3" max="3"/>
    <col width="8.7109375" customWidth="1" min="4" max="26"/>
  </cols>
  <sheetData>
    <row r="1" ht="15" customHeight="1">
      <c r="A1" s="2" t="inlineStr">
        <is>
          <t>Topic-wise Question Distribution</t>
        </is>
      </c>
    </row>
    <row r="3" ht="15" customHeight="1">
      <c r="A3" s="1" t="inlineStr">
        <is>
          <t>S.No</t>
        </is>
      </c>
      <c r="B3" s="1" t="inlineStr">
        <is>
          <t>Topic</t>
        </is>
      </c>
      <c r="C3" s="1" t="inlineStr">
        <is>
          <t>No. of Questions</t>
        </is>
      </c>
    </row>
    <row r="4" ht="15" customHeight="1">
      <c r="A4" s="3" t="n">
        <v>1</v>
      </c>
      <c r="B4" s="4" t="inlineStr">
        <is>
          <t>Arrays</t>
        </is>
      </c>
      <c r="C4" s="3">
        <f>COUNTIF('Master Sheet (100 Qs)'!$B$2:$B$101,B4)</f>
        <v/>
      </c>
    </row>
    <row r="5" ht="15" customHeight="1">
      <c r="A5" s="3" t="n">
        <v>2</v>
      </c>
      <c r="B5" s="4" t="inlineStr">
        <is>
          <t>Mathematics</t>
        </is>
      </c>
      <c r="C5" s="3">
        <f>COUNTIF('Master Sheet (100 Qs)'!$B$2:$B$101,B5)</f>
        <v/>
      </c>
    </row>
    <row r="6" ht="15" customHeight="1">
      <c r="A6" s="3" t="n">
        <v>3</v>
      </c>
      <c r="B6" s="4" t="inlineStr">
        <is>
          <t>Strings</t>
        </is>
      </c>
      <c r="C6" s="3">
        <f>COUNTIF('Master Sheet (100 Qs)'!$B$2:$B$101,B6)</f>
        <v/>
      </c>
    </row>
    <row r="7" ht="15" customHeight="1">
      <c r="A7" s="3" t="n">
        <v>4</v>
      </c>
      <c r="B7" s="4" t="inlineStr">
        <is>
          <t>Number Theory</t>
        </is>
      </c>
      <c r="C7" s="3">
        <f>COUNTIF('Master Sheet (100 Qs)'!$B$2:$B$101,B7)</f>
        <v/>
      </c>
    </row>
    <row r="8" ht="15" customHeight="1">
      <c r="A8" s="3" t="n">
        <v>5</v>
      </c>
      <c r="B8" s="4" t="inlineStr">
        <is>
          <t>Frequency Counting</t>
        </is>
      </c>
      <c r="C8" s="3">
        <f>COUNTIF('Master Sheet (100 Qs)'!$B$2:$B$101,B8)</f>
        <v/>
      </c>
    </row>
    <row r="9" ht="15" customHeight="1">
      <c r="A9" s="3" t="n">
        <v>6</v>
      </c>
      <c r="B9" s="4" t="inlineStr">
        <is>
          <t>HashMap / HashSet</t>
        </is>
      </c>
      <c r="C9" s="3">
        <f>COUNTIF('Master Sheet (100 Qs)'!$B$2:$B$101,B9)</f>
        <v/>
      </c>
    </row>
    <row r="10" ht="15" customHeight="1">
      <c r="A10" s="3" t="n">
        <v>7</v>
      </c>
      <c r="B10" s="4" t="inlineStr">
        <is>
          <t>Intervals</t>
        </is>
      </c>
      <c r="C10" s="3">
        <f>COUNTIF('Master Sheet (100 Qs)'!$B$2:$B$101,B10)</f>
        <v/>
      </c>
    </row>
    <row r="11" ht="15" customHeight="1">
      <c r="A11" s="3" t="n">
        <v>8</v>
      </c>
      <c r="B11" s="4" t="inlineStr">
        <is>
          <t>Sorting</t>
        </is>
      </c>
      <c r="C11" s="3">
        <f>COUNTIF('Master Sheet (100 Qs)'!$B$2:$B$101,B11)</f>
        <v/>
      </c>
    </row>
    <row r="12" ht="15" customHeight="1">
      <c r="A12" s="3" t="n">
        <v>9</v>
      </c>
      <c r="B12" s="4" t="inlineStr">
        <is>
          <t>Binary Search</t>
        </is>
      </c>
      <c r="C12" s="3">
        <f>COUNTIF('Master Sheet (100 Qs)'!$B$2:$B$101,B12)</f>
        <v/>
      </c>
    </row>
    <row r="13" ht="15" customHeight="1">
      <c r="A13" s="3" t="n">
        <v>10</v>
      </c>
      <c r="B13" s="4" t="inlineStr">
        <is>
          <t>Two Pointers</t>
        </is>
      </c>
      <c r="C13" s="3">
        <f>COUNTIF('Master Sheet (100 Qs)'!$B$2:$B$101,B13)</f>
        <v/>
      </c>
    </row>
    <row r="14" ht="15" customHeight="1">
      <c r="A14" s="3" t="n">
        <v>11</v>
      </c>
      <c r="B14" s="4" t="inlineStr">
        <is>
          <t>Sliding Window</t>
        </is>
      </c>
      <c r="C14" s="3">
        <f>COUNTIF('Master Sheet (100 Qs)'!$B$2:$B$101,B14)</f>
        <v/>
      </c>
    </row>
    <row r="15" ht="15" customHeight="1">
      <c r="A15" s="3" t="n">
        <v>12</v>
      </c>
      <c r="B15" s="4" t="inlineStr">
        <is>
          <t>Prefix Sum</t>
        </is>
      </c>
      <c r="C15" s="3">
        <f>COUNTIF('Master Sheet (100 Qs)'!$B$2:$B$101,B15)</f>
        <v/>
      </c>
    </row>
    <row r="16" ht="15" customHeight="1">
      <c r="A16" s="3" t="n">
        <v>13</v>
      </c>
      <c r="B16" s="4" t="inlineStr">
        <is>
          <t>Matrix</t>
        </is>
      </c>
      <c r="C16" s="3">
        <f>COUNTIF('Master Sheet (100 Qs)'!$B$2:$B$101,B16)</f>
        <v/>
      </c>
    </row>
    <row r="17" ht="15" customHeight="1">
      <c r="A17" s="3" t="n">
        <v>14</v>
      </c>
      <c r="B17" s="4" t="inlineStr">
        <is>
          <t>Recursion</t>
        </is>
      </c>
      <c r="C17" s="3">
        <f>COUNTIF('Master Sheet (100 Qs)'!$B$2:$B$101,B17)</f>
        <v/>
      </c>
    </row>
    <row r="18" ht="15" customHeight="1">
      <c r="A18" s="3" t="n">
        <v>15</v>
      </c>
      <c r="B18" s="4" t="inlineStr">
        <is>
          <t>Basic Backtracking</t>
        </is>
      </c>
      <c r="C18" s="3">
        <f>COUNTIF('Master Sheet (100 Qs)'!$B$2:$B$101,B18)</f>
        <v/>
      </c>
    </row>
    <row r="19" ht="15" customHeight="1">
      <c r="A19" s="3" t="n">
        <v>16</v>
      </c>
      <c r="B19" s="4" t="inlineStr">
        <is>
          <t>Stack</t>
        </is>
      </c>
      <c r="C19" s="3">
        <f>COUNTIF('Master Sheet (100 Qs)'!$B$2:$B$101,B19)</f>
        <v/>
      </c>
    </row>
    <row r="20" ht="15" customHeight="1">
      <c r="A20" s="3" t="n">
        <v>17</v>
      </c>
      <c r="B20" s="4" t="inlineStr">
        <is>
          <t>Queue</t>
        </is>
      </c>
      <c r="C20" s="3">
        <f>COUNTIF('Master Sheet (100 Qs)'!$B$2:$B$101,B20)</f>
        <v/>
      </c>
    </row>
    <row r="21" ht="15.75" customHeight="1">
      <c r="A21" s="3" t="n">
        <v>18</v>
      </c>
      <c r="B21" s="4" t="inlineStr">
        <is>
          <t>Linked List</t>
        </is>
      </c>
      <c r="C21" s="3">
        <f>COUNTIF('Master Sheet (100 Qs)'!$B$2:$B$101,B21)</f>
        <v/>
      </c>
    </row>
    <row r="22" ht="15.75" customHeight="1">
      <c r="A22" s="3" t="n">
        <v>19</v>
      </c>
      <c r="B22" s="4" t="inlineStr">
        <is>
          <t>Trees</t>
        </is>
      </c>
      <c r="C22" s="3">
        <f>COUNTIF('Master Sheet (100 Qs)'!$B$2:$B$101,B22)</f>
        <v/>
      </c>
    </row>
    <row r="23" ht="15.75" customHeight="1">
      <c r="A23" s="3" t="n">
        <v>20</v>
      </c>
      <c r="B23" s="4" t="inlineStr">
        <is>
          <t>Binary Search Trees</t>
        </is>
      </c>
      <c r="C23" s="3">
        <f>COUNTIF('Master Sheet (100 Qs)'!$B$2:$B$101,B23)</f>
        <v/>
      </c>
    </row>
    <row r="24" ht="15.75" customHeight="1">
      <c r="A24" s="3" t="n">
        <v>21</v>
      </c>
      <c r="B24" s="4" t="inlineStr">
        <is>
          <t>Pattern-based Logic</t>
        </is>
      </c>
      <c r="C24" s="3">
        <f>COUNTIF('Master Sheet (100 Qs)'!$B$2:$B$101,B24)</f>
        <v/>
      </c>
    </row>
    <row r="25" ht="15.75" customHeight="1">
      <c r="A25" s="3" t="n">
        <v>22</v>
      </c>
      <c r="B25" s="4" t="inlineStr">
        <is>
          <t>Heap / Priority Queue</t>
        </is>
      </c>
      <c r="C25" s="3">
        <f>COUNTIF('Master Sheet (100 Qs)'!$B$2:$B$101,B25)</f>
        <v/>
      </c>
    </row>
    <row r="26" ht="15.75" customHeight="1">
      <c r="A26" s="3" t="n">
        <v>23</v>
      </c>
      <c r="B26" s="4" t="inlineStr">
        <is>
          <t>Greedy Algorithms</t>
        </is>
      </c>
      <c r="C26" s="3">
        <f>COUNTIF('Master Sheet (100 Qs)'!$B$2:$B$101,B26)</f>
        <v/>
      </c>
    </row>
    <row r="27" ht="15.75" customHeight="1">
      <c r="A27" s="3" t="n">
        <v>24</v>
      </c>
      <c r="B27" s="4" t="inlineStr">
        <is>
          <t>Simulation</t>
        </is>
      </c>
      <c r="C27" s="3">
        <f>COUNTIF('Master Sheet (100 Qs)'!$B$2:$B$101,B27)</f>
        <v/>
      </c>
    </row>
    <row r="28" ht="15.75" customHeight="1">
      <c r="A28" s="3" t="n">
        <v>25</v>
      </c>
      <c r="B28" s="4" t="inlineStr">
        <is>
          <t>Dynamic Programming</t>
        </is>
      </c>
      <c r="C28" s="3">
        <f>COUNTIF('Master Sheet (100 Qs)'!$B$2:$B$101,B28)</f>
        <v/>
      </c>
    </row>
    <row r="29" ht="15.75" customHeight="1">
      <c r="A29" s="3" t="n">
        <v>26</v>
      </c>
      <c r="B29" s="4" t="inlineStr">
        <is>
          <t>Graph Basics</t>
        </is>
      </c>
      <c r="C29" s="3">
        <f>COUNTIF('Master Sheet (100 Qs)'!$B$2:$B$101,B29)</f>
        <v/>
      </c>
    </row>
    <row r="30" ht="15.75" customHeight="1">
      <c r="A30" s="3" t="n">
        <v>27</v>
      </c>
      <c r="B30" s="4" t="inlineStr">
        <is>
          <t>Bit Manipulation</t>
        </is>
      </c>
      <c r="C30" s="3">
        <f>COUNTIF('Master Sheet (100 Qs)'!$B$2:$B$101,B30)</f>
        <v/>
      </c>
    </row>
    <row r="31" ht="15.75" customHeight="1">
      <c r="A31" s="3" t="n">
        <v>28</v>
      </c>
      <c r="B31" s="4" t="inlineStr">
        <is>
          <t>Miscellaneous</t>
        </is>
      </c>
      <c r="C31" s="3">
        <f>COUNTIF('Master Sheet (100 Qs)'!$B$2:$B$101,B31)</f>
        <v/>
      </c>
    </row>
    <row r="32" ht="15.75" customHeight="1">
      <c r="A32" s="5" t="n"/>
      <c r="B32" s="6" t="inlineStr">
        <is>
          <t>Total</t>
        </is>
      </c>
      <c r="C32" s="6">
        <f>SUM(C4:C31)</f>
        <v/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C1"/>
  </mergeCells>
  <pageMargins left="0.75" right="0.75" top="1" bottom="1" header="0" footer="0"/>
  <pageSetup orientation="portrait" paperSize="9" pageOrder="downThenOver"/>
  <headerFooter>
    <oddHeader>&amp;L&amp;C&amp;R</oddHeader>
    <oddFooter>&amp;L&amp;C&amp;R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topLeftCell="A1" workbookViewId="0">
      <pane ySplit="3" topLeftCell="A4" activePane="bottomLeft" state="frozen"/>
      <selection pane="bottomLeft" activeCell="B5" sqref="B5"/>
    </sheetView>
  </sheetViews>
  <sheetFormatPr baseColWidth="8" defaultColWidth="14.421875" defaultRowHeight="15" customHeight="1"/>
  <cols>
    <col width="6.00390625" customWidth="1" min="1" max="1"/>
    <col width="18.00390625" customWidth="1" min="2" max="3"/>
    <col width="8.7109375" customWidth="1" min="4" max="26"/>
  </cols>
  <sheetData>
    <row r="1" ht="15" customHeight="1">
      <c r="A1" s="2" t="inlineStr">
        <is>
          <t>Difficulty Distribution</t>
        </is>
      </c>
    </row>
    <row r="3" ht="15" customHeight="1">
      <c r="A3" s="1" t="inlineStr">
        <is>
          <t>S.No</t>
        </is>
      </c>
      <c r="B3" s="1" t="inlineStr">
        <is>
          <t>Difficulty</t>
        </is>
      </c>
      <c r="C3" s="1" t="inlineStr">
        <is>
          <t>No. of Questions</t>
        </is>
      </c>
    </row>
    <row r="4" ht="15" customHeight="1">
      <c r="A4" s="3" t="n">
        <v>1</v>
      </c>
      <c r="B4" s="7" t="inlineStr">
        <is>
          <t>Easy</t>
        </is>
      </c>
      <c r="C4" s="3">
        <f>COUNTIF('Master Sheet (100 Qs)'!$E$2:$E$101,B4)</f>
        <v/>
      </c>
    </row>
    <row r="5" ht="15" customHeight="1">
      <c r="A5" s="3" t="n">
        <v>2</v>
      </c>
      <c r="B5" s="8" t="inlineStr">
        <is>
          <t>Easy-Medium</t>
        </is>
      </c>
      <c r="C5" s="3">
        <f>COUNTIF('Master Sheet (100 Qs)'!$E$2:$E$101,B5)</f>
        <v/>
      </c>
    </row>
    <row r="6" ht="15" customHeight="1">
      <c r="A6" s="3" t="n">
        <v>3</v>
      </c>
      <c r="B6" s="9" t="inlineStr">
        <is>
          <t>Medium</t>
        </is>
      </c>
      <c r="C6" s="3">
        <f>COUNTIF('Master Sheet (100 Qs)'!$E$2:$E$101,B6)</f>
        <v/>
      </c>
    </row>
    <row r="7" ht="15" customHeight="1">
      <c r="A7" s="5" t="n"/>
      <c r="B7" s="6" t="inlineStr">
        <is>
          <t>Total</t>
        </is>
      </c>
      <c r="C7" s="6">
        <f>SUM(C4:C6)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C1"/>
  </mergeCells>
  <pageMargins left="0.75" right="0.75" top="1" bottom="1" header="0" footer="0"/>
  <pageSetup orientation="portrait" paperSize="9" pageOrder="downThenOver"/>
  <headerFooter>
    <oddHeader>&amp;L&amp;C&amp;R</oddHeader>
    <oddFooter>&amp;L&amp;C&amp;R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topLeftCell="A1" workbookViewId="0">
      <selection activeCell="A1" sqref="A1"/>
    </sheetView>
  </sheetViews>
  <sheetFormatPr baseColWidth="8" defaultColWidth="14.421875" defaultRowHeight="15" customHeight="1"/>
  <cols>
    <col width="34.00390625" customWidth="1" min="1" max="1"/>
    <col width="40.00390625" customWidth="1" min="2" max="2"/>
    <col width="8.7109375" customWidth="1" min="3" max="26"/>
  </cols>
  <sheetData>
    <row r="1" ht="15" customHeight="1">
      <c r="A1" s="2" t="inlineStr">
        <is>
          <t>Deloitte Prep — Progress Tracker</t>
        </is>
      </c>
    </row>
    <row r="3" ht="15" customHeight="1">
      <c r="A3" s="1" t="inlineStr">
        <is>
          <t>Metric</t>
        </is>
      </c>
      <c r="B3" s="1" t="inlineStr">
        <is>
          <t>Value</t>
        </is>
      </c>
    </row>
    <row r="4" ht="15" customHeight="1">
      <c r="A4" s="4" t="inlineStr">
        <is>
          <t>Total Questions</t>
        </is>
      </c>
      <c r="B4" s="3">
        <f>COUNTA('Master Sheet (100 Qs)'!A2:A101)</f>
        <v/>
      </c>
    </row>
    <row r="5" ht="15" customHeight="1">
      <c r="A5" s="4" t="inlineStr">
        <is>
          <t>Solved (Status = Done)</t>
        </is>
      </c>
      <c r="B5" s="3">
        <f>COUNTIF('Master Sheet (100 Qs)'!K2:K101,"Done")</f>
        <v/>
      </c>
    </row>
    <row r="6" ht="15" customHeight="1">
      <c r="A6" s="4" t="inlineStr">
        <is>
          <t>In Progress (Status = In Progress)</t>
        </is>
      </c>
      <c r="B6" s="3">
        <f>COUNTIF('Master Sheet (100 Qs)'!K2:K101,"In Progress")</f>
        <v/>
      </c>
    </row>
    <row r="7" ht="15" customHeight="1">
      <c r="A7" s="4" t="inlineStr">
        <is>
          <t>Not Started</t>
        </is>
      </c>
      <c r="B7" s="3">
        <f>COUNTA('Master Sheet (100 Qs)'!A2:A101)-COUNTIF('Master Sheet (100 Qs)'!K2:K101,"Done")-COUNTIF('Master Sheet (100 Qs)'!K2:K101,"In Progress")</f>
        <v/>
      </c>
    </row>
    <row r="8" ht="15" customHeight="1">
      <c r="A8" s="4" t="inlineStr">
        <is>
          <t>Completion %</t>
        </is>
      </c>
      <c r="B8" s="3">
        <f>ROUND(COUNTIF('Master Sheet (100 Qs)'!K2:K101,"Done")/COUNTA('Master Sheet (100 Qs)'!A2:A101)*100,1)</f>
        <v/>
      </c>
    </row>
    <row r="9" ht="15" customHeight="1">
      <c r="A9" s="4" t="inlineStr">
        <is>
          <t>High Importance Solved</t>
        </is>
      </c>
      <c r="B9" s="3">
        <f>_xlfn.COUNTIFS('Master Sheet (100 Qs)'!J2:J101,"High",'Master Sheet (100 Qs)'!K2:K101,"Done")</f>
        <v/>
      </c>
    </row>
    <row r="10" ht="15" customHeight="1">
      <c r="A10" s="4" t="inlineStr">
        <is>
          <t>Total High Importance Qs</t>
        </is>
      </c>
      <c r="B10" s="3">
        <f>COUNTIF('Master Sheet (100 Qs)'!J2:J101,"High")</f>
        <v/>
      </c>
    </row>
    <row r="13" ht="15" customHeight="1">
      <c r="A13" s="10" t="inlineStr">
        <is>
          <t>Instructions:</t>
        </is>
      </c>
    </row>
    <row r="14" ht="15" customHeight="1">
      <c r="A14" s="10" t="inlineStr">
        <is>
          <t>1. Go to 'Master Sheet (100 Qs)', column K (Status).</t>
        </is>
      </c>
    </row>
    <row r="15" ht="15" customHeight="1">
      <c r="A15" s="10" t="inlineStr">
        <is>
          <t>2. Type 'Done', 'In Progress', or leave blank for each question as you practice.</t>
        </is>
      </c>
    </row>
    <row r="16" ht="15" customHeight="1">
      <c r="A16" s="10" t="inlineStr">
        <is>
          <t>3. This tracker updates automatically using formulas.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ageMargins left="0.75" right="0.75" top="1" bottom="1" header="0" footer="0"/>
  <pageSetup orientation="portrait" paperSize="9" pageOrder="downThenOver"/>
  <headerFooter>
    <oddHeader>&amp;L&amp;C&amp;R</oddHeader>
    <oddFooter>&amp;L&amp;C&amp;R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2026-07-23T20:22:29Z</dcterms:created>
  <dcterms:modified xmlns:dcterms="http://purl.org/dc/terms/" xmlns:xsi="http://www.w3.org/2001/XMLSchema-instance" xsi:type="dcterms:W3CDTF">2026-07-23T21:32:30Z</dcterms:modified>
</cp:coreProperties>
</file>